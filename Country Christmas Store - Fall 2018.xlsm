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beamer\Documents\excel_sheets\"/>
    </mc:Choice>
  </mc:AlternateContent>
  <xr:revisionPtr revIDLastSave="0" documentId="13_ncr:1_{49C494B0-FA23-47DB-9765-756AA5064C52}" xr6:coauthVersionLast="37" xr6:coauthVersionMax="37" xr10:uidLastSave="{00000000-0000-0000-0000-000000000000}"/>
  <bookViews>
    <workbookView xWindow="0" yWindow="0" windowWidth="24720" windowHeight="12225" tabRatio="634" activeTab="4" xr2:uid="{00000000-000D-0000-FFFF-FFFF00000000}"/>
  </bookViews>
  <sheets>
    <sheet name="VendorData" sheetId="275" r:id="rId1"/>
    <sheet name="ControlData" sheetId="273" r:id="rId2"/>
    <sheet name="TransactionData" sheetId="274" r:id="rId3"/>
    <sheet name="Vendor Sales" sheetId="125" r:id="rId4"/>
    <sheet name="TOTAL SALES" sheetId="239" r:id="rId5"/>
  </sheets>
  <definedNames>
    <definedName name="_xlnm._FilterDatabase" localSheetId="2" hidden="1">TransactionData!$A$1:$G$1</definedName>
    <definedName name="_xlnm._FilterDatabase" localSheetId="0" hidden="1">VendorData!$A$1:$F$71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07" i="239" l="1"/>
  <c r="K5" i="125"/>
  <c r="C70" i="275" l="1"/>
  <c r="E70" i="275" s="1"/>
  <c r="D70" i="275"/>
  <c r="C23" i="275" l="1"/>
  <c r="D23" i="275"/>
  <c r="E23" i="275" l="1"/>
  <c r="C8" i="275"/>
  <c r="D8" i="275"/>
  <c r="E8" i="275" l="1"/>
  <c r="C46" i="275"/>
  <c r="D46" i="275"/>
  <c r="E46" i="275" l="1"/>
  <c r="C74" i="275"/>
  <c r="D74" i="275"/>
  <c r="E74" i="275" l="1"/>
  <c r="C71" i="275"/>
  <c r="D71" i="275"/>
  <c r="C73" i="275"/>
  <c r="D73" i="275"/>
  <c r="E73" i="275" l="1"/>
  <c r="E71" i="275"/>
  <c r="C62" i="275"/>
  <c r="D62" i="275"/>
  <c r="C26" i="275"/>
  <c r="D26" i="275"/>
  <c r="E62" i="275" l="1"/>
  <c r="E26" i="275"/>
  <c r="C58" i="275"/>
  <c r="D58" i="275"/>
  <c r="C55" i="275"/>
  <c r="D55" i="275"/>
  <c r="C54" i="275"/>
  <c r="D54" i="275"/>
  <c r="C50" i="275"/>
  <c r="D50" i="275"/>
  <c r="C33" i="275"/>
  <c r="D33" i="275"/>
  <c r="C29" i="275"/>
  <c r="D29" i="275"/>
  <c r="C28" i="275"/>
  <c r="D28" i="275"/>
  <c r="C11" i="275"/>
  <c r="D11" i="275"/>
  <c r="E28" i="275" l="1"/>
  <c r="E33" i="275"/>
  <c r="E54" i="275"/>
  <c r="E58" i="275"/>
  <c r="E29" i="275"/>
  <c r="E50" i="275"/>
  <c r="E55" i="275"/>
  <c r="E11" i="275"/>
  <c r="C85" i="275"/>
  <c r="D85" i="275"/>
  <c r="E85" i="275" l="1"/>
  <c r="C21" i="275"/>
  <c r="D21" i="275"/>
  <c r="E21" i="275" l="1"/>
  <c r="C86" i="275"/>
  <c r="D86" i="275"/>
  <c r="C78" i="275"/>
  <c r="D78" i="275"/>
  <c r="C61" i="275"/>
  <c r="D61" i="275"/>
  <c r="C60" i="275"/>
  <c r="D60" i="275"/>
  <c r="C52" i="275"/>
  <c r="D52" i="275"/>
  <c r="C79" i="275"/>
  <c r="D79" i="275"/>
  <c r="C41" i="275"/>
  <c r="D41" i="275"/>
  <c r="C39" i="275"/>
  <c r="D39" i="275"/>
  <c r="C36" i="275"/>
  <c r="D36" i="275"/>
  <c r="C34" i="275"/>
  <c r="D34" i="275"/>
  <c r="C31" i="275"/>
  <c r="D31" i="275"/>
  <c r="C27" i="275"/>
  <c r="D27" i="275"/>
  <c r="C25" i="275"/>
  <c r="D25" i="275"/>
  <c r="C22" i="275"/>
  <c r="D22" i="275"/>
  <c r="C87" i="275"/>
  <c r="D87" i="275"/>
  <c r="C12" i="275"/>
  <c r="D12" i="275"/>
  <c r="C18" i="275"/>
  <c r="D18" i="275"/>
  <c r="C16" i="275"/>
  <c r="D16" i="275"/>
  <c r="C14" i="275"/>
  <c r="D14" i="275"/>
  <c r="C13" i="275"/>
  <c r="D13" i="275"/>
  <c r="C10" i="275"/>
  <c r="D10" i="275"/>
  <c r="E78" i="275" l="1"/>
  <c r="E86" i="275"/>
  <c r="E13" i="275"/>
  <c r="E12" i="275"/>
  <c r="E14" i="275"/>
  <c r="E18" i="275"/>
  <c r="E87" i="275"/>
  <c r="E25" i="275"/>
  <c r="E31" i="275"/>
  <c r="E36" i="275"/>
  <c r="E41" i="275"/>
  <c r="E52" i="275"/>
  <c r="E61" i="275"/>
  <c r="E16" i="275"/>
  <c r="E22" i="275"/>
  <c r="E27" i="275"/>
  <c r="E34" i="275"/>
  <c r="E39" i="275"/>
  <c r="E79" i="275"/>
  <c r="E60" i="275"/>
  <c r="E10" i="275"/>
  <c r="D7" i="275"/>
  <c r="C7" i="275"/>
  <c r="D6" i="275"/>
  <c r="C6" i="275"/>
  <c r="D4" i="275"/>
  <c r="C4" i="275"/>
  <c r="D82" i="275"/>
  <c r="C82" i="275"/>
  <c r="D72" i="275"/>
  <c r="C72" i="275"/>
  <c r="D2" i="275"/>
  <c r="C2" i="275"/>
  <c r="D3" i="275"/>
  <c r="C3" i="275"/>
  <c r="D84" i="275"/>
  <c r="C84" i="275"/>
  <c r="D45" i="275"/>
  <c r="C45" i="275"/>
  <c r="D63" i="275"/>
  <c r="C63" i="275"/>
  <c r="D64" i="275"/>
  <c r="C64" i="275"/>
  <c r="D5" i="275"/>
  <c r="C5" i="275"/>
  <c r="D51" i="275"/>
  <c r="C51" i="275"/>
  <c r="D77" i="275"/>
  <c r="C77" i="275"/>
  <c r="D32" i="275"/>
  <c r="C32" i="275"/>
  <c r="D76" i="275"/>
  <c r="C76" i="275"/>
  <c r="D88" i="275"/>
  <c r="C88" i="275"/>
  <c r="D57" i="275"/>
  <c r="C57" i="275"/>
  <c r="D69" i="275"/>
  <c r="C69" i="275"/>
  <c r="D80" i="275"/>
  <c r="C80" i="275"/>
  <c r="D66" i="275"/>
  <c r="C66" i="275"/>
  <c r="D65" i="275"/>
  <c r="C65" i="275"/>
  <c r="D68" i="275"/>
  <c r="C68" i="275"/>
  <c r="D40" i="275"/>
  <c r="C40" i="275"/>
  <c r="D24" i="275"/>
  <c r="C24" i="275"/>
  <c r="D81" i="275"/>
  <c r="C81" i="275"/>
  <c r="D83" i="275"/>
  <c r="C83" i="275"/>
  <c r="D56" i="275"/>
  <c r="C56" i="275"/>
  <c r="D44" i="275"/>
  <c r="C44" i="275"/>
  <c r="D19" i="275"/>
  <c r="C19" i="275"/>
  <c r="D38" i="275"/>
  <c r="C38" i="275"/>
  <c r="D59" i="275"/>
  <c r="C59" i="275"/>
  <c r="D53" i="275"/>
  <c r="C53" i="275"/>
  <c r="D35" i="275"/>
  <c r="C35" i="275"/>
  <c r="D47" i="275"/>
  <c r="C47" i="275"/>
  <c r="D75" i="275"/>
  <c r="C75" i="275"/>
  <c r="D43" i="275"/>
  <c r="C43" i="275"/>
  <c r="D15" i="275"/>
  <c r="C15" i="275"/>
  <c r="D37" i="275"/>
  <c r="C37" i="275"/>
  <c r="D42" i="275"/>
  <c r="C42" i="275"/>
  <c r="D30" i="275"/>
  <c r="C30" i="275"/>
  <c r="D49" i="275"/>
  <c r="C49" i="275"/>
  <c r="D17" i="275"/>
  <c r="C17" i="275"/>
  <c r="D48" i="275"/>
  <c r="C48" i="275"/>
  <c r="D67" i="275"/>
  <c r="C67" i="275"/>
  <c r="D9" i="275"/>
  <c r="C9" i="275"/>
  <c r="D20" i="275"/>
  <c r="C20" i="275"/>
  <c r="E82" i="275" l="1"/>
  <c r="E6" i="275"/>
  <c r="E19" i="275"/>
  <c r="E2" i="275"/>
  <c r="E44" i="275"/>
  <c r="E56" i="275"/>
  <c r="E20" i="275"/>
  <c r="E67" i="275"/>
  <c r="E17" i="275"/>
  <c r="E30" i="275"/>
  <c r="E37" i="275"/>
  <c r="E43" i="275"/>
  <c r="E47" i="275"/>
  <c r="E53" i="275"/>
  <c r="E38" i="275"/>
  <c r="E81" i="275"/>
  <c r="E40" i="275"/>
  <c r="E66" i="275"/>
  <c r="E69" i="275"/>
  <c r="E88" i="275"/>
  <c r="E32" i="275"/>
  <c r="E77" i="275"/>
  <c r="E5" i="275"/>
  <c r="E63" i="275"/>
  <c r="E84" i="275"/>
  <c r="E68" i="275"/>
  <c r="E72" i="275"/>
  <c r="E9" i="275"/>
  <c r="E48" i="275"/>
  <c r="E49" i="275"/>
  <c r="E42" i="275"/>
  <c r="E15" i="275"/>
  <c r="E75" i="275"/>
  <c r="E35" i="275"/>
  <c r="E59" i="275"/>
  <c r="E83" i="275"/>
  <c r="E24" i="275"/>
  <c r="E65" i="275"/>
  <c r="E80" i="275"/>
  <c r="E57" i="275"/>
  <c r="E76" i="275"/>
  <c r="E51" i="275"/>
  <c r="E64" i="275"/>
  <c r="E45" i="275"/>
  <c r="E3" i="275"/>
  <c r="E4" i="275"/>
  <c r="E7" i="275"/>
  <c r="C107" i="239"/>
</calcChain>
</file>

<file path=xl/sharedStrings.xml><?xml version="1.0" encoding="utf-8"?>
<sst xmlns="http://schemas.openxmlformats.org/spreadsheetml/2006/main" count="316" uniqueCount="310">
  <si>
    <t>THE COUNTRY CHRISTMAS STORE</t>
  </si>
  <si>
    <t>DATE</t>
  </si>
  <si>
    <t>SALES/INCOME</t>
  </si>
  <si>
    <t>PLU</t>
  </si>
  <si>
    <t>DEVRIES FRUIT FARM</t>
  </si>
  <si>
    <t>ADRIANA VAN ROSSUM</t>
  </si>
  <si>
    <t>SALE AMT</t>
  </si>
  <si>
    <t>HST</t>
  </si>
  <si>
    <t>25% COM.</t>
  </si>
  <si>
    <t>960 - 969</t>
  </si>
  <si>
    <t>VENDOR ID</t>
  </si>
  <si>
    <t>VENDOR NAME</t>
  </si>
  <si>
    <t>SALES</t>
  </si>
  <si>
    <t>TOTAL SALES</t>
  </si>
  <si>
    <t>VENDOR SALES</t>
  </si>
  <si>
    <t>100 - 109</t>
  </si>
  <si>
    <t>110 - 119</t>
  </si>
  <si>
    <t>120 - 129</t>
  </si>
  <si>
    <t>130 - 139</t>
  </si>
  <si>
    <t>140 - 149</t>
  </si>
  <si>
    <t>150 - 159</t>
  </si>
  <si>
    <t>170 - 179</t>
  </si>
  <si>
    <t>180 - 189</t>
  </si>
  <si>
    <t>200 - 209</t>
  </si>
  <si>
    <t>210 - 219</t>
  </si>
  <si>
    <t>220 - 229</t>
  </si>
  <si>
    <t>230 - 239</t>
  </si>
  <si>
    <t>240 - 249</t>
  </si>
  <si>
    <t>250 - 259</t>
  </si>
  <si>
    <t>260 - 269</t>
  </si>
  <si>
    <t>270 - 279</t>
  </si>
  <si>
    <t>280 - 289</t>
  </si>
  <si>
    <t>290 - 299</t>
  </si>
  <si>
    <t>300 - 309</t>
  </si>
  <si>
    <t>310 - 319</t>
  </si>
  <si>
    <t>330 - 339</t>
  </si>
  <si>
    <t>340 - 349</t>
  </si>
  <si>
    <t>350 - 359</t>
  </si>
  <si>
    <t>360 - 369</t>
  </si>
  <si>
    <t>370 - 379</t>
  </si>
  <si>
    <t>380 - 389</t>
  </si>
  <si>
    <t>400 - 409</t>
  </si>
  <si>
    <t>410 - 419</t>
  </si>
  <si>
    <t>420 - 429</t>
  </si>
  <si>
    <t>430 - 439</t>
  </si>
  <si>
    <t>440 - 449</t>
  </si>
  <si>
    <t>450 - 459</t>
  </si>
  <si>
    <t>460 - 469</t>
  </si>
  <si>
    <t>480 - 489</t>
  </si>
  <si>
    <t>490 - 499</t>
  </si>
  <si>
    <t>500 - 509</t>
  </si>
  <si>
    <t>510 - 519</t>
  </si>
  <si>
    <t>520 - 529</t>
  </si>
  <si>
    <t>590 - 599</t>
  </si>
  <si>
    <t>610 - 619</t>
  </si>
  <si>
    <t>650 - 659</t>
  </si>
  <si>
    <t>660 - 669</t>
  </si>
  <si>
    <t>730 - 739</t>
  </si>
  <si>
    <t>750 - 759</t>
  </si>
  <si>
    <t>760 - 769</t>
  </si>
  <si>
    <t>770 - 779</t>
  </si>
  <si>
    <t>780 - 789</t>
  </si>
  <si>
    <t>810 - 839</t>
  </si>
  <si>
    <t>850 - 859</t>
  </si>
  <si>
    <t>860 - 869</t>
  </si>
  <si>
    <t>890 - 899</t>
  </si>
  <si>
    <t>900 - 909</t>
  </si>
  <si>
    <t>MENNONITE</t>
  </si>
  <si>
    <t>1010 - 1019</t>
  </si>
  <si>
    <t>1070 - 1079</t>
  </si>
  <si>
    <t>1100 - 1119</t>
  </si>
  <si>
    <t>1120 - 1129</t>
  </si>
  <si>
    <t>1130 - 1139</t>
  </si>
  <si>
    <t>910 - 910</t>
  </si>
  <si>
    <t>160 - 169</t>
  </si>
  <si>
    <t>190 - 199</t>
  </si>
  <si>
    <t>320 - 329</t>
  </si>
  <si>
    <t>390 - 399</t>
  </si>
  <si>
    <t>470 - 479</t>
  </si>
  <si>
    <t>530 - 539</t>
  </si>
  <si>
    <t>540 - 549</t>
  </si>
  <si>
    <t>550 - 559</t>
  </si>
  <si>
    <t>560 - 569</t>
  </si>
  <si>
    <t>570 - 579</t>
  </si>
  <si>
    <t>580 - 589</t>
  </si>
  <si>
    <t>620 - 629</t>
  </si>
  <si>
    <t>630 - 639</t>
  </si>
  <si>
    <t>640 - 649</t>
  </si>
  <si>
    <t>670 - 679</t>
  </si>
  <si>
    <t>680 - 689</t>
  </si>
  <si>
    <t>690 - 699</t>
  </si>
  <si>
    <t>700 - 709</t>
  </si>
  <si>
    <t>710 - 719</t>
  </si>
  <si>
    <t>720 - 729</t>
  </si>
  <si>
    <t>740 - 749</t>
  </si>
  <si>
    <t>790 - 799</t>
  </si>
  <si>
    <t>800 - 809</t>
  </si>
  <si>
    <t>840 - 849</t>
  </si>
  <si>
    <t>870 - 879</t>
  </si>
  <si>
    <t>880 - 889</t>
  </si>
  <si>
    <t>911 - 919</t>
  </si>
  <si>
    <t>920 - 929</t>
  </si>
  <si>
    <t>930 - 939</t>
  </si>
  <si>
    <t xml:space="preserve">940 - 949 </t>
  </si>
  <si>
    <t>950 - 959</t>
  </si>
  <si>
    <t>970 - 979</t>
  </si>
  <si>
    <t>980 - 989</t>
  </si>
  <si>
    <t>990 - 999</t>
  </si>
  <si>
    <t>1000 - 1009</t>
  </si>
  <si>
    <t>1020 - 1029</t>
  </si>
  <si>
    <t>1030 - 1039</t>
  </si>
  <si>
    <t>1040 - 1049</t>
  </si>
  <si>
    <t>1050 - 1059</t>
  </si>
  <si>
    <t>1060 - 1069</t>
  </si>
  <si>
    <t>1080 - 1089</t>
  </si>
  <si>
    <t>1090 - 1099</t>
  </si>
  <si>
    <t>Per Debit Fee</t>
  </si>
  <si>
    <t>Credit Fee</t>
  </si>
  <si>
    <t>Square Fee</t>
  </si>
  <si>
    <t>NAME</t>
  </si>
  <si>
    <t>#`s</t>
  </si>
  <si>
    <t>CRYSTAL ZETTEL</t>
  </si>
  <si>
    <t>#240-249</t>
  </si>
  <si>
    <t>#120-129</t>
  </si>
  <si>
    <t>TAMMI WILSON</t>
  </si>
  <si>
    <t>#760-769</t>
  </si>
  <si>
    <t>JESSIE SCHACKMANN</t>
  </si>
  <si>
    <t>#530-539</t>
  </si>
  <si>
    <t>HELEN JOVONOVIC</t>
  </si>
  <si>
    <t>#200-209</t>
  </si>
  <si>
    <t>BARBARA NADEAU</t>
  </si>
  <si>
    <t>#540-549</t>
  </si>
  <si>
    <t>JESSIE MARSHALL</t>
  </si>
  <si>
    <t>#350-359</t>
  </si>
  <si>
    <t>JOANNE MATTICE</t>
  </si>
  <si>
    <t>#470-479</t>
  </si>
  <si>
    <t>LOIS DEMERS</t>
  </si>
  <si>
    <t>#420-429</t>
  </si>
  <si>
    <t>JEAN WHITE/LINDA WATTS</t>
  </si>
  <si>
    <t>#180-189</t>
  </si>
  <si>
    <t>#480-489</t>
  </si>
  <si>
    <t>KIM ROBINSON</t>
  </si>
  <si>
    <t>#840-849</t>
  </si>
  <si>
    <t>MARY &amp; GILLE</t>
  </si>
  <si>
    <t>#520-529</t>
  </si>
  <si>
    <t>DON SVOB</t>
  </si>
  <si>
    <t>#400-409</t>
  </si>
  <si>
    <t>AMY DOCKSTADER</t>
  </si>
  <si>
    <t>#600-609</t>
  </si>
  <si>
    <t>MICHELLE KUIJER</t>
  </si>
  <si>
    <t>#660-669</t>
  </si>
  <si>
    <t>KRYSTEN MACLEOD</t>
  </si>
  <si>
    <t>#430-439</t>
  </si>
  <si>
    <t>CAROL BANNISTER</t>
  </si>
  <si>
    <t>#220-229</t>
  </si>
  <si>
    <t>LISA THOMS</t>
  </si>
  <si>
    <t>#490-499</t>
  </si>
  <si>
    <t>CAROL PERRY</t>
  </si>
  <si>
    <t>#630-639</t>
  </si>
  <si>
    <t>SUSAN HOLLY</t>
  </si>
  <si>
    <t>#920-929</t>
  </si>
  <si>
    <t>COLLEEN CUVIELLO</t>
  </si>
  <si>
    <t>#290-299</t>
  </si>
  <si>
    <t>JACKIE HOPKINS</t>
  </si>
  <si>
    <t>#450-459</t>
  </si>
  <si>
    <t>TERRY MITCHELL</t>
  </si>
  <si>
    <t>#770-779</t>
  </si>
  <si>
    <t>DEBBIE MEAGHER</t>
  </si>
  <si>
    <t>#740-749</t>
  </si>
  <si>
    <t>KAY TROTMAN</t>
  </si>
  <si>
    <t>#750-759</t>
  </si>
  <si>
    <t>KAREN THOMPSON</t>
  </si>
  <si>
    <t>#780-789</t>
  </si>
  <si>
    <t>NICKI WILLIAMS TAYS</t>
  </si>
  <si>
    <t>#640-649</t>
  </si>
  <si>
    <t>CHRIS DELAAT</t>
  </si>
  <si>
    <t>#370-379</t>
  </si>
  <si>
    <t>ADAM JAROSZYNSKI</t>
  </si>
  <si>
    <t>#570-579</t>
  </si>
  <si>
    <t>#110-119</t>
  </si>
  <si>
    <t>STEPHEN VAZ</t>
  </si>
  <si>
    <t>#730-739</t>
  </si>
  <si>
    <t>JACKIE KEANE</t>
  </si>
  <si>
    <t>#720-729</t>
  </si>
  <si>
    <t>Start SKU</t>
  </si>
  <si>
    <t>End SKU</t>
  </si>
  <si>
    <t>Vendor-SKU</t>
  </si>
  <si>
    <t>Vendor Sales Selection</t>
  </si>
  <si>
    <t>Tap Fee</t>
  </si>
  <si>
    <t>Transaction</t>
  </si>
  <si>
    <t>Pay Type</t>
  </si>
  <si>
    <t>QTY</t>
  </si>
  <si>
    <t>Amount Per</t>
  </si>
  <si>
    <t>Totals</t>
  </si>
  <si>
    <t>Qty</t>
  </si>
  <si>
    <t>Price Per</t>
  </si>
  <si>
    <t>Payment Type</t>
  </si>
  <si>
    <t>FEES</t>
  </si>
  <si>
    <t>Transaction #</t>
  </si>
  <si>
    <t>Vendor TOTAL</t>
  </si>
  <si>
    <t>#810-819</t>
  </si>
  <si>
    <t>#1120-1129</t>
  </si>
  <si>
    <t>#1130-1139</t>
  </si>
  <si>
    <t>#910-919</t>
  </si>
  <si>
    <t>ANA EISENKOELBL</t>
  </si>
  <si>
    <t>#500-509</t>
  </si>
  <si>
    <t>JAN DIMARTINO</t>
  </si>
  <si>
    <t>#930-939</t>
  </si>
  <si>
    <t>NANCY CORNISH</t>
  </si>
  <si>
    <t>#1020-1029</t>
  </si>
  <si>
    <t>SERGE CHRIQUI</t>
  </si>
  <si>
    <t>#100-109</t>
  </si>
  <si>
    <t>OURS</t>
  </si>
  <si>
    <t>OURS - Lunch Room</t>
  </si>
  <si>
    <t>No Commission</t>
  </si>
  <si>
    <t>Charge HST</t>
  </si>
  <si>
    <t>#1100-1119</t>
  </si>
  <si>
    <t>SHELLEY DULMAGE</t>
  </si>
  <si>
    <t>#130-139</t>
  </si>
  <si>
    <t>STELLA KUIPER</t>
  </si>
  <si>
    <t>#160-169</t>
  </si>
  <si>
    <t>DOMENICA PIERROTTA</t>
  </si>
  <si>
    <t>#170-179</t>
  </si>
  <si>
    <t>SEBRINA LEVALLE</t>
  </si>
  <si>
    <t>#190-199</t>
  </si>
  <si>
    <t>DALE METCALFE-BERRY</t>
  </si>
  <si>
    <t>#210-219</t>
  </si>
  <si>
    <t>STACEY DEL FABBRO</t>
  </si>
  <si>
    <t>#270-279</t>
  </si>
  <si>
    <t>JOHN LAYTON</t>
  </si>
  <si>
    <t>#300-309</t>
  </si>
  <si>
    <t>#320-329</t>
  </si>
  <si>
    <t>SHARON CORCORAN</t>
  </si>
  <si>
    <t>#360-369</t>
  </si>
  <si>
    <t>DIANE BACON</t>
  </si>
  <si>
    <t>#390-399</t>
  </si>
  <si>
    <t>DONNA SIKORA</t>
  </si>
  <si>
    <t>#410-419</t>
  </si>
  <si>
    <t>LINK TONG</t>
  </si>
  <si>
    <t>#440-449</t>
  </si>
  <si>
    <t>#460-469</t>
  </si>
  <si>
    <t xml:space="preserve">BILL TOPPING </t>
  </si>
  <si>
    <t>#590-599</t>
  </si>
  <si>
    <t>ELLA ZAREVICH</t>
  </si>
  <si>
    <t>#670-679</t>
  </si>
  <si>
    <t>DEBBIE MYRE</t>
  </si>
  <si>
    <t>#690-699</t>
  </si>
  <si>
    <t>#870-879</t>
  </si>
  <si>
    <t>CHERYL CHIARELLI</t>
  </si>
  <si>
    <t>#950-959</t>
  </si>
  <si>
    <t>LIZ SMITH</t>
  </si>
  <si>
    <t>FRANK PETRANOVIC</t>
  </si>
  <si>
    <t>#250-259</t>
  </si>
  <si>
    <t>MARG ROUTLEDGE</t>
  </si>
  <si>
    <t>SARAH RIEMER</t>
  </si>
  <si>
    <t>#940-949</t>
  </si>
  <si>
    <t>#140-149</t>
  </si>
  <si>
    <t>BECKY THOMPSON</t>
  </si>
  <si>
    <t>#330-339</t>
  </si>
  <si>
    <t>TAMIKA MARTELS</t>
  </si>
  <si>
    <t>#340-349</t>
  </si>
  <si>
    <t>LISA BYERS</t>
  </si>
  <si>
    <t>#380-389</t>
  </si>
  <si>
    <t>RALPH KELLY</t>
  </si>
  <si>
    <t>#550-559</t>
  </si>
  <si>
    <t>ROBIN LAUDER</t>
  </si>
  <si>
    <t>#610-619</t>
  </si>
  <si>
    <t>ROBERT CARRIERE</t>
  </si>
  <si>
    <t>#620-629</t>
  </si>
  <si>
    <t>JIM ESTOK</t>
  </si>
  <si>
    <t>#650-659</t>
  </si>
  <si>
    <t>ONESTY TRUDEL</t>
  </si>
  <si>
    <t>#310-319</t>
  </si>
  <si>
    <t>SHERYL BOWSLAUGH</t>
  </si>
  <si>
    <t>#710-719</t>
  </si>
  <si>
    <t>LINDA JOHNSON</t>
  </si>
  <si>
    <t>#820-829</t>
  </si>
  <si>
    <t>#800-809</t>
  </si>
  <si>
    <t>STEPHANIE PIORIER</t>
  </si>
  <si>
    <t>KATHIE&amp;JOE MACHIDA</t>
  </si>
  <si>
    <t>#980-989</t>
  </si>
  <si>
    <t>#830-839</t>
  </si>
  <si>
    <t>PAT CARRIERE</t>
  </si>
  <si>
    <t>#970-979</t>
  </si>
  <si>
    <t>KEN SMITH</t>
  </si>
  <si>
    <t>#880-889</t>
  </si>
  <si>
    <t>JENNIFER OOSTERLAKEN</t>
  </si>
  <si>
    <t>#890-899</t>
  </si>
  <si>
    <t>#850-859</t>
  </si>
  <si>
    <t>DON HARROD</t>
  </si>
  <si>
    <t>NADINE NUXOLL</t>
  </si>
  <si>
    <t>#860-869</t>
  </si>
  <si>
    <t>#900-909</t>
  </si>
  <si>
    <t>LESLIE TAYLOR</t>
  </si>
  <si>
    <t>NANCY BEAMER</t>
  </si>
  <si>
    <t>#510-519</t>
  </si>
  <si>
    <t>CATHARINEMCLOUGHLI</t>
  </si>
  <si>
    <t>#150-159</t>
  </si>
  <si>
    <t>911 is mine</t>
  </si>
  <si>
    <t>#1150-1159</t>
  </si>
  <si>
    <t>BARB CONNELL</t>
  </si>
  <si>
    <t>#280-289</t>
  </si>
  <si>
    <t>RON&amp;CHRISTINELANDRY</t>
  </si>
  <si>
    <t>#790-799</t>
  </si>
  <si>
    <t>BILL ROGER</t>
  </si>
  <si>
    <t>MARIE LANDONI</t>
  </si>
  <si>
    <t xml:space="preserve">ID </t>
  </si>
  <si>
    <t>DANI MURRAY</t>
  </si>
  <si>
    <t>MICHAEL BIDOCHK</t>
  </si>
  <si>
    <t>PATTI SIMEK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</si>
</sst>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&quot;$&quot;#,##0.00"/>
    <numFmt numFmtId="166" formatCode="&quot;$&quot;#,##0.00;[Red]&quot;$&quot;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6">
    <xf numFmtId="0" fontId="0" fillId="0" borderId="0" xfId="0"/>
    <xf numFmtId="0" fontId="0" fillId="0" borderId="1" xfId="0" applyBorder="1" applyAlignment="1">
      <alignment horizontal="center" vertical="center"/>
    </xf>
    <xf numFmtId="9" fontId="0" fillId="0" borderId="7" xfId="0" applyNumberFormat="1" applyBorder="1" applyAlignment="1">
      <alignment horizontal="center" vertical="center"/>
    </xf>
    <xf numFmtId="0" fontId="0" fillId="0" borderId="4" xfId="0" applyBorder="1" applyAlignment="1">
      <alignment horizontal="left"/>
    </xf>
    <xf numFmtId="165" fontId="0" fillId="0" borderId="3" xfId="0" applyNumberFormat="1" applyFill="1" applyBorder="1"/>
    <xf numFmtId="165" fontId="0" fillId="0" borderId="1" xfId="0" applyNumberFormat="1" applyFill="1" applyBorder="1"/>
    <xf numFmtId="165" fontId="0" fillId="0" borderId="7" xfId="0" applyNumberFormat="1" applyFill="1" applyBorder="1"/>
    <xf numFmtId="0" fontId="0" fillId="0" borderId="8" xfId="0" applyNumberFormat="1" applyBorder="1" applyAlignment="1">
      <alignment horizontal="center"/>
    </xf>
    <xf numFmtId="166" fontId="0" fillId="0" borderId="3" xfId="0" applyNumberFormat="1" applyBorder="1" applyAlignment="1">
      <alignment horizontal="right"/>
    </xf>
    <xf numFmtId="0" fontId="0" fillId="0" borderId="5" xfId="0" applyFill="1" applyBorder="1" applyAlignment="1">
      <alignment vertical="center"/>
    </xf>
    <xf numFmtId="166" fontId="0" fillId="2" borderId="7" xfId="0" applyNumberFormat="1" applyFill="1" applyBorder="1" applyAlignment="1">
      <alignment horizontal="right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NumberFormat="1" applyBorder="1" applyAlignment="1">
      <alignment vertical="top"/>
    </xf>
    <xf numFmtId="0" fontId="0" fillId="0" borderId="2" xfId="0" applyNumberFormat="1" applyBorder="1" applyAlignment="1"/>
    <xf numFmtId="0" fontId="0" fillId="0" borderId="0" xfId="0" applyAlignment="1">
      <alignment horizontal="center"/>
    </xf>
    <xf numFmtId="164" fontId="0" fillId="0" borderId="0" xfId="1" applyFo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0" fillId="0" borderId="0" xfId="0" applyNumberFormat="1"/>
    <xf numFmtId="1" fontId="0" fillId="0" borderId="11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0" xfId="0" applyNumberFormat="1"/>
    <xf numFmtId="0" fontId="0" fillId="0" borderId="11" xfId="0" applyBorder="1" applyAlignment="1">
      <alignment horizontal="left"/>
    </xf>
    <xf numFmtId="0" fontId="0" fillId="0" borderId="1" xfId="0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4" fontId="0" fillId="2" borderId="7" xfId="0" applyNumberFormat="1" applyFill="1" applyBorder="1"/>
    <xf numFmtId="4" fontId="0" fillId="0" borderId="0" xfId="0" applyNumberFormat="1"/>
    <xf numFmtId="165" fontId="0" fillId="3" borderId="7" xfId="0" applyNumberFormat="1" applyFill="1" applyBorder="1"/>
    <xf numFmtId="9" fontId="0" fillId="0" borderId="0" xfId="0" applyNumberFormat="1"/>
    <xf numFmtId="4" fontId="0" fillId="0" borderId="11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ill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22" dropStyle="combo" dx="16" fmlaLink="ControlData!$E$2" fmlaRange="VendorData!$E$2:$E$88" noThreeD="1" sel="4" val="2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0</xdr:row>
          <xdr:rowOff>28575</xdr:rowOff>
        </xdr:from>
        <xdr:to>
          <xdr:col>9</xdr:col>
          <xdr:colOff>95250</xdr:colOff>
          <xdr:row>0</xdr:row>
          <xdr:rowOff>371475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Payments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10</xdr:col>
          <xdr:colOff>809625</xdr:colOff>
          <xdr:row>3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</xdr:row>
          <xdr:rowOff>28575</xdr:rowOff>
        </xdr:from>
        <xdr:to>
          <xdr:col>11</xdr:col>
          <xdr:colOff>600075</xdr:colOff>
          <xdr:row>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95250</xdr:rowOff>
        </xdr:from>
        <xdr:to>
          <xdr:col>4</xdr:col>
          <xdr:colOff>552450</xdr:colOff>
          <xdr:row>1</xdr:row>
          <xdr:rowOff>114300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137529CE-7E5C-4D90-9BCD-30A8812C71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88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42578125" bestFit="1" customWidth="1"/>
    <col min="2" max="2" width="13.28515625" customWidth="1"/>
    <col min="3" max="4" width="9.140625" style="40"/>
    <col min="5" max="5" width="29.42578125" style="40" bestFit="1" customWidth="1"/>
    <col min="6" max="6" width="30.28515625" bestFit="1" customWidth="1"/>
    <col min="7" max="7" width="10.85546875" bestFit="1" customWidth="1"/>
  </cols>
  <sheetData>
    <row r="1" spans="1:7" ht="30.75" customHeight="1" x14ac:dyDescent="0.25">
      <c r="A1" s="17" t="s">
        <v>119</v>
      </c>
      <c r="B1" s="18" t="s">
        <v>120</v>
      </c>
      <c r="C1" s="39" t="s">
        <v>184</v>
      </c>
      <c r="D1" s="39" t="s">
        <v>185</v>
      </c>
      <c r="E1" s="39" t="s">
        <v>186</v>
      </c>
      <c r="F1" s="18" t="s">
        <v>214</v>
      </c>
      <c r="G1" s="18" t="s">
        <v>215</v>
      </c>
    </row>
    <row r="2" spans="1:7" x14ac:dyDescent="0.25">
      <c r="A2" t="s">
        <v>210</v>
      </c>
      <c r="B2" t="s">
        <v>211</v>
      </c>
      <c r="C2" s="40" t="str">
        <f t="shared" ref="C2:C33" si="0">MID(B2, 2, FIND("-",B2)-2)</f>
        <v>100</v>
      </c>
      <c r="D2" s="40" t="str">
        <f t="shared" ref="D2:D33" si="1">MID(B2, FIND("-",B2)+1,4)</f>
        <v>109</v>
      </c>
      <c r="E2" s="40" t="str">
        <f t="shared" ref="E2:E33" si="2">CONCATENATE(C2,"-",D2,":",A2)</f>
        <v>100-109:SERGE CHRIQUI</v>
      </c>
    </row>
    <row r="3" spans="1:7" x14ac:dyDescent="0.25">
      <c r="A3" t="s">
        <v>208</v>
      </c>
      <c r="B3" t="s">
        <v>209</v>
      </c>
      <c r="C3" s="40" t="str">
        <f t="shared" si="0"/>
        <v>1020</v>
      </c>
      <c r="D3" s="40" t="str">
        <f t="shared" si="1"/>
        <v>1029</v>
      </c>
      <c r="E3" s="40" t="str">
        <f t="shared" si="2"/>
        <v>1020-1029:NANCY CORNISH</v>
      </c>
    </row>
    <row r="4" spans="1:7" x14ac:dyDescent="0.25">
      <c r="A4" t="s">
        <v>213</v>
      </c>
      <c r="B4" t="s">
        <v>216</v>
      </c>
      <c r="C4" s="40" t="str">
        <f t="shared" si="0"/>
        <v>1100</v>
      </c>
      <c r="D4" s="40" t="str">
        <f t="shared" si="1"/>
        <v>1119</v>
      </c>
      <c r="E4" s="40" t="str">
        <f t="shared" si="2"/>
        <v>1100-1119:OURS - Lunch Room</v>
      </c>
      <c r="F4" s="36" t="b">
        <v>1</v>
      </c>
      <c r="G4" t="b">
        <v>1</v>
      </c>
    </row>
    <row r="5" spans="1:7" x14ac:dyDescent="0.25">
      <c r="A5" t="s">
        <v>4</v>
      </c>
      <c r="B5" t="s">
        <v>179</v>
      </c>
      <c r="C5" s="40" t="str">
        <f t="shared" si="0"/>
        <v>110</v>
      </c>
      <c r="D5" s="40" t="str">
        <f t="shared" si="1"/>
        <v>119</v>
      </c>
      <c r="E5" s="40" t="str">
        <f t="shared" si="2"/>
        <v>110-119:DEVRIES FRUIT FARM</v>
      </c>
      <c r="F5" t="b">
        <v>1</v>
      </c>
    </row>
    <row r="6" spans="1:7" x14ac:dyDescent="0.25">
      <c r="A6" t="s">
        <v>212</v>
      </c>
      <c r="B6" t="s">
        <v>201</v>
      </c>
      <c r="C6" s="40" t="str">
        <f t="shared" si="0"/>
        <v>1120</v>
      </c>
      <c r="D6" s="40" t="str">
        <f t="shared" si="1"/>
        <v>1129</v>
      </c>
      <c r="E6" s="40" t="str">
        <f t="shared" si="2"/>
        <v>1120-1129:OURS</v>
      </c>
      <c r="F6" s="36" t="b">
        <v>1</v>
      </c>
    </row>
    <row r="7" spans="1:7" x14ac:dyDescent="0.25">
      <c r="A7" t="s">
        <v>212</v>
      </c>
      <c r="B7" t="s">
        <v>202</v>
      </c>
      <c r="C7" s="40" t="str">
        <f t="shared" si="0"/>
        <v>1130</v>
      </c>
      <c r="D7" s="40" t="str">
        <f t="shared" si="1"/>
        <v>1139</v>
      </c>
      <c r="E7" s="40" t="str">
        <f t="shared" si="2"/>
        <v>1130-1139:OURS</v>
      </c>
      <c r="F7" s="36" t="b">
        <v>1</v>
      </c>
    </row>
    <row r="8" spans="1:7" x14ac:dyDescent="0.25">
      <c r="A8" t="s">
        <v>307</v>
      </c>
      <c r="B8" t="s">
        <v>299</v>
      </c>
      <c r="C8" s="40" t="str">
        <f t="shared" si="0"/>
        <v>1150</v>
      </c>
      <c r="D8" s="40" t="str">
        <f t="shared" si="1"/>
        <v>1159</v>
      </c>
      <c r="E8" s="40" t="str">
        <f t="shared" si="2"/>
        <v>1150-1159:DANI MURRAY</v>
      </c>
    </row>
    <row r="9" spans="1:7" x14ac:dyDescent="0.25">
      <c r="A9" t="s">
        <v>5</v>
      </c>
      <c r="B9" t="s">
        <v>123</v>
      </c>
      <c r="C9" s="40" t="str">
        <f t="shared" si="0"/>
        <v>120</v>
      </c>
      <c r="D9" s="40" t="str">
        <f t="shared" si="1"/>
        <v>129</v>
      </c>
      <c r="E9" s="40" t="str">
        <f t="shared" si="2"/>
        <v>120-129:ADRIANA VAN ROSSUM</v>
      </c>
      <c r="F9" t="b">
        <v>1</v>
      </c>
    </row>
    <row r="10" spans="1:7" x14ac:dyDescent="0.25">
      <c r="A10" t="s">
        <v>217</v>
      </c>
      <c r="B10" t="s">
        <v>218</v>
      </c>
      <c r="C10" s="40" t="str">
        <f t="shared" si="0"/>
        <v>130</v>
      </c>
      <c r="D10" s="40" t="str">
        <f t="shared" si="1"/>
        <v>139</v>
      </c>
      <c r="E10" s="40" t="str">
        <f t="shared" si="2"/>
        <v>130-139:SHELLEY DULMAGE</v>
      </c>
    </row>
    <row r="11" spans="1:7" x14ac:dyDescent="0.25">
      <c r="A11" t="s">
        <v>254</v>
      </c>
      <c r="B11" t="s">
        <v>256</v>
      </c>
      <c r="C11" s="40" t="str">
        <f t="shared" si="0"/>
        <v>140</v>
      </c>
      <c r="D11" s="40" t="str">
        <f t="shared" si="1"/>
        <v>149</v>
      </c>
      <c r="E11" s="40" t="str">
        <f t="shared" si="2"/>
        <v>140-149:SARAH RIEMER</v>
      </c>
    </row>
    <row r="12" spans="1:7" x14ac:dyDescent="0.25">
      <c r="A12" t="s">
        <v>296</v>
      </c>
      <c r="B12" t="s">
        <v>297</v>
      </c>
      <c r="C12" s="40" t="str">
        <f t="shared" si="0"/>
        <v>150</v>
      </c>
      <c r="D12" s="40" t="str">
        <f t="shared" si="1"/>
        <v>159</v>
      </c>
      <c r="E12" s="40" t="str">
        <f t="shared" si="2"/>
        <v>150-159:CATHARINEMCLOUGHLI</v>
      </c>
    </row>
    <row r="13" spans="1:7" x14ac:dyDescent="0.25">
      <c r="A13" t="s">
        <v>219</v>
      </c>
      <c r="B13" t="s">
        <v>220</v>
      </c>
      <c r="C13" s="40" t="str">
        <f t="shared" si="0"/>
        <v>160</v>
      </c>
      <c r="D13" s="40" t="str">
        <f t="shared" si="1"/>
        <v>169</v>
      </c>
      <c r="E13" s="40" t="str">
        <f t="shared" si="2"/>
        <v>160-169:STELLA KUIPER</v>
      </c>
    </row>
    <row r="14" spans="1:7" x14ac:dyDescent="0.25">
      <c r="A14" t="s">
        <v>221</v>
      </c>
      <c r="B14" t="s">
        <v>222</v>
      </c>
      <c r="C14" s="40" t="str">
        <f t="shared" si="0"/>
        <v>170</v>
      </c>
      <c r="D14" s="40" t="str">
        <f t="shared" si="1"/>
        <v>179</v>
      </c>
      <c r="E14" s="40" t="str">
        <f t="shared" si="2"/>
        <v>170-179:DOMENICA PIERROTTA</v>
      </c>
    </row>
    <row r="15" spans="1:7" x14ac:dyDescent="0.25">
      <c r="A15" t="s">
        <v>138</v>
      </c>
      <c r="B15" t="s">
        <v>139</v>
      </c>
      <c r="C15" s="40" t="str">
        <f t="shared" si="0"/>
        <v>180</v>
      </c>
      <c r="D15" s="40" t="str">
        <f t="shared" si="1"/>
        <v>189</v>
      </c>
      <c r="E15" s="40" t="str">
        <f t="shared" si="2"/>
        <v>180-189:JEAN WHITE/LINDA WATTS</v>
      </c>
    </row>
    <row r="16" spans="1:7" x14ac:dyDescent="0.25">
      <c r="A16" t="s">
        <v>223</v>
      </c>
      <c r="B16" t="s">
        <v>224</v>
      </c>
      <c r="C16" s="40" t="str">
        <f t="shared" si="0"/>
        <v>190</v>
      </c>
      <c r="D16" s="40" t="str">
        <f t="shared" si="1"/>
        <v>199</v>
      </c>
      <c r="E16" s="40" t="str">
        <f t="shared" si="2"/>
        <v>190-199:SEBRINA LEVALLE</v>
      </c>
    </row>
    <row r="17" spans="1:6" x14ac:dyDescent="0.25">
      <c r="A17" t="s">
        <v>128</v>
      </c>
      <c r="B17" t="s">
        <v>129</v>
      </c>
      <c r="C17" s="40" t="str">
        <f t="shared" si="0"/>
        <v>200</v>
      </c>
      <c r="D17" s="40" t="str">
        <f t="shared" si="1"/>
        <v>209</v>
      </c>
      <c r="E17" s="40" t="str">
        <f t="shared" si="2"/>
        <v>200-209:HELEN JOVONOVIC</v>
      </c>
    </row>
    <row r="18" spans="1:6" x14ac:dyDescent="0.25">
      <c r="A18" t="s">
        <v>225</v>
      </c>
      <c r="B18" t="s">
        <v>226</v>
      </c>
      <c r="C18" s="40" t="str">
        <f t="shared" si="0"/>
        <v>210</v>
      </c>
      <c r="D18" s="40" t="str">
        <f t="shared" si="1"/>
        <v>219</v>
      </c>
      <c r="E18" s="40" t="str">
        <f t="shared" si="2"/>
        <v>210-219:DALE METCALFE-BERRY</v>
      </c>
    </row>
    <row r="19" spans="1:6" x14ac:dyDescent="0.25">
      <c r="A19" t="s">
        <v>153</v>
      </c>
      <c r="B19" t="s">
        <v>154</v>
      </c>
      <c r="C19" s="40" t="str">
        <f t="shared" si="0"/>
        <v>220</v>
      </c>
      <c r="D19" s="40" t="str">
        <f t="shared" si="1"/>
        <v>229</v>
      </c>
      <c r="E19" s="40" t="str">
        <f t="shared" si="2"/>
        <v>220-229:CAROL BANNISTER</v>
      </c>
    </row>
    <row r="20" spans="1:6" x14ac:dyDescent="0.25">
      <c r="A20" t="s">
        <v>121</v>
      </c>
      <c r="B20" t="s">
        <v>122</v>
      </c>
      <c r="C20" s="40" t="str">
        <f t="shared" si="0"/>
        <v>240</v>
      </c>
      <c r="D20" s="40" t="str">
        <f t="shared" si="1"/>
        <v>249</v>
      </c>
      <c r="E20" s="40" t="str">
        <f t="shared" si="2"/>
        <v>240-249:CRYSTAL ZETTEL</v>
      </c>
      <c r="F20" t="b">
        <v>1</v>
      </c>
    </row>
    <row r="21" spans="1:6" x14ac:dyDescent="0.25">
      <c r="A21" t="s">
        <v>251</v>
      </c>
      <c r="B21" t="s">
        <v>252</v>
      </c>
      <c r="C21" s="40" t="str">
        <f t="shared" si="0"/>
        <v>250</v>
      </c>
      <c r="D21" s="40" t="str">
        <f t="shared" si="1"/>
        <v>259</v>
      </c>
      <c r="E21" s="40" t="str">
        <f t="shared" si="2"/>
        <v>250-259:FRANK PETRANOVIC</v>
      </c>
    </row>
    <row r="22" spans="1:6" x14ac:dyDescent="0.25">
      <c r="A22" t="s">
        <v>227</v>
      </c>
      <c r="B22" t="s">
        <v>228</v>
      </c>
      <c r="C22" s="40" t="str">
        <f t="shared" si="0"/>
        <v>270</v>
      </c>
      <c r="D22" s="40" t="str">
        <f t="shared" si="1"/>
        <v>279</v>
      </c>
      <c r="E22" s="40" t="str">
        <f t="shared" si="2"/>
        <v>270-279:STACEY DEL FABBRO</v>
      </c>
    </row>
    <row r="23" spans="1:6" x14ac:dyDescent="0.25">
      <c r="A23" t="s">
        <v>300</v>
      </c>
      <c r="B23" t="s">
        <v>301</v>
      </c>
      <c r="C23" s="40" t="str">
        <f t="shared" si="0"/>
        <v>280</v>
      </c>
      <c r="D23" s="40" t="str">
        <f t="shared" si="1"/>
        <v>289</v>
      </c>
      <c r="E23" s="40" t="str">
        <f t="shared" si="2"/>
        <v>280-289:BARB CONNELL</v>
      </c>
    </row>
    <row r="24" spans="1:6" x14ac:dyDescent="0.25">
      <c r="A24" t="s">
        <v>161</v>
      </c>
      <c r="B24" t="s">
        <v>162</v>
      </c>
      <c r="C24" s="40" t="str">
        <f t="shared" si="0"/>
        <v>290</v>
      </c>
      <c r="D24" s="40" t="str">
        <f t="shared" si="1"/>
        <v>299</v>
      </c>
      <c r="E24" s="40" t="str">
        <f t="shared" si="2"/>
        <v>290-299:COLLEEN CUVIELLO</v>
      </c>
    </row>
    <row r="25" spans="1:6" x14ac:dyDescent="0.25">
      <c r="A25" t="s">
        <v>229</v>
      </c>
      <c r="B25" t="s">
        <v>230</v>
      </c>
      <c r="C25" s="40" t="str">
        <f t="shared" si="0"/>
        <v>300</v>
      </c>
      <c r="D25" s="40" t="str">
        <f t="shared" si="1"/>
        <v>309</v>
      </c>
      <c r="E25" s="40" t="str">
        <f t="shared" si="2"/>
        <v>300-309:JOHN LAYTON</v>
      </c>
    </row>
    <row r="26" spans="1:6" x14ac:dyDescent="0.25">
      <c r="A26" t="s">
        <v>271</v>
      </c>
      <c r="B26" t="s">
        <v>272</v>
      </c>
      <c r="C26" s="40" t="str">
        <f t="shared" si="0"/>
        <v>310</v>
      </c>
      <c r="D26" s="40" t="str">
        <f t="shared" si="1"/>
        <v>319</v>
      </c>
      <c r="E26" s="40" t="str">
        <f t="shared" si="2"/>
        <v>310-319:ONESTY TRUDEL</v>
      </c>
    </row>
    <row r="27" spans="1:6" x14ac:dyDescent="0.25">
      <c r="A27" t="s">
        <v>304</v>
      </c>
      <c r="B27" t="s">
        <v>231</v>
      </c>
      <c r="C27" s="40" t="str">
        <f t="shared" si="0"/>
        <v>320</v>
      </c>
      <c r="D27" s="40" t="str">
        <f t="shared" si="1"/>
        <v>329</v>
      </c>
      <c r="E27" s="40" t="str">
        <f t="shared" si="2"/>
        <v>320-329:BILL ROGER</v>
      </c>
    </row>
    <row r="28" spans="1:6" x14ac:dyDescent="0.25">
      <c r="A28" t="s">
        <v>257</v>
      </c>
      <c r="B28" t="s">
        <v>258</v>
      </c>
      <c r="C28" s="40" t="str">
        <f t="shared" si="0"/>
        <v>330</v>
      </c>
      <c r="D28" s="40" t="str">
        <f t="shared" si="1"/>
        <v>339</v>
      </c>
      <c r="E28" s="40" t="str">
        <f t="shared" si="2"/>
        <v>330-339:BECKY THOMPSON</v>
      </c>
    </row>
    <row r="29" spans="1:6" x14ac:dyDescent="0.25">
      <c r="A29" t="s">
        <v>259</v>
      </c>
      <c r="B29" t="s">
        <v>260</v>
      </c>
      <c r="C29" s="40" t="str">
        <f t="shared" si="0"/>
        <v>340</v>
      </c>
      <c r="D29" s="40" t="str">
        <f t="shared" si="1"/>
        <v>349</v>
      </c>
      <c r="E29" s="40" t="str">
        <f t="shared" si="2"/>
        <v>340-349:TAMIKA MARTELS</v>
      </c>
    </row>
    <row r="30" spans="1:6" x14ac:dyDescent="0.25">
      <c r="A30" t="s">
        <v>132</v>
      </c>
      <c r="B30" t="s">
        <v>133</v>
      </c>
      <c r="C30" s="40" t="str">
        <f t="shared" si="0"/>
        <v>350</v>
      </c>
      <c r="D30" s="40" t="str">
        <f t="shared" si="1"/>
        <v>359</v>
      </c>
      <c r="E30" s="40" t="str">
        <f t="shared" si="2"/>
        <v>350-359:JESSIE MARSHALL</v>
      </c>
    </row>
    <row r="31" spans="1:6" x14ac:dyDescent="0.25">
      <c r="A31" t="s">
        <v>232</v>
      </c>
      <c r="B31" t="s">
        <v>233</v>
      </c>
      <c r="C31" s="40" t="str">
        <f t="shared" si="0"/>
        <v>360</v>
      </c>
      <c r="D31" s="40" t="str">
        <f t="shared" si="1"/>
        <v>369</v>
      </c>
      <c r="E31" s="40" t="str">
        <f t="shared" si="2"/>
        <v>360-369:SHARON CORCORAN</v>
      </c>
    </row>
    <row r="32" spans="1:6" x14ac:dyDescent="0.25">
      <c r="A32" t="s">
        <v>175</v>
      </c>
      <c r="B32" t="s">
        <v>176</v>
      </c>
      <c r="C32" s="40" t="str">
        <f t="shared" si="0"/>
        <v>370</v>
      </c>
      <c r="D32" s="40" t="str">
        <f t="shared" si="1"/>
        <v>379</v>
      </c>
      <c r="E32" s="40" t="str">
        <f t="shared" si="2"/>
        <v>370-379:CHRIS DELAAT</v>
      </c>
    </row>
    <row r="33" spans="1:6" x14ac:dyDescent="0.25">
      <c r="A33" t="s">
        <v>261</v>
      </c>
      <c r="B33" t="s">
        <v>262</v>
      </c>
      <c r="C33" s="40" t="str">
        <f t="shared" si="0"/>
        <v>380</v>
      </c>
      <c r="D33" s="40" t="str">
        <f t="shared" si="1"/>
        <v>389</v>
      </c>
      <c r="E33" s="40" t="str">
        <f t="shared" si="2"/>
        <v>380-389:LISA BYERS</v>
      </c>
    </row>
    <row r="34" spans="1:6" x14ac:dyDescent="0.25">
      <c r="A34" t="s">
        <v>234</v>
      </c>
      <c r="B34" t="s">
        <v>235</v>
      </c>
      <c r="C34" s="40" t="str">
        <f t="shared" ref="C34:C65" si="3">MID(B34, 2, FIND("-",B34)-2)</f>
        <v>390</v>
      </c>
      <c r="D34" s="40" t="str">
        <f t="shared" ref="D34:D65" si="4">MID(B34, FIND("-",B34)+1,4)</f>
        <v>399</v>
      </c>
      <c r="E34" s="40" t="str">
        <f t="shared" ref="E34:E65" si="5">CONCATENATE(C34,"-",D34,":",A34)</f>
        <v>390-399:DIANE BACON</v>
      </c>
    </row>
    <row r="35" spans="1:6" x14ac:dyDescent="0.25">
      <c r="A35" t="s">
        <v>145</v>
      </c>
      <c r="B35" t="s">
        <v>146</v>
      </c>
      <c r="C35" s="40" t="str">
        <f t="shared" si="3"/>
        <v>400</v>
      </c>
      <c r="D35" s="40" t="str">
        <f t="shared" si="4"/>
        <v>409</v>
      </c>
      <c r="E35" s="40" t="str">
        <f t="shared" si="5"/>
        <v>400-409:DON SVOB</v>
      </c>
    </row>
    <row r="36" spans="1:6" x14ac:dyDescent="0.25">
      <c r="A36" t="s">
        <v>236</v>
      </c>
      <c r="B36" t="s">
        <v>237</v>
      </c>
      <c r="C36" s="40" t="str">
        <f t="shared" si="3"/>
        <v>410</v>
      </c>
      <c r="D36" s="40" t="str">
        <f t="shared" si="4"/>
        <v>419</v>
      </c>
      <c r="E36" s="40" t="str">
        <f t="shared" si="5"/>
        <v>410-419:DONNA SIKORA</v>
      </c>
    </row>
    <row r="37" spans="1:6" x14ac:dyDescent="0.25">
      <c r="A37" t="s">
        <v>136</v>
      </c>
      <c r="B37" t="s">
        <v>137</v>
      </c>
      <c r="C37" s="40" t="str">
        <f t="shared" si="3"/>
        <v>420</v>
      </c>
      <c r="D37" s="40" t="str">
        <f t="shared" si="4"/>
        <v>429</v>
      </c>
      <c r="E37" s="40" t="str">
        <f t="shared" si="5"/>
        <v>420-429:LOIS DEMERS</v>
      </c>
    </row>
    <row r="38" spans="1:6" x14ac:dyDescent="0.25">
      <c r="A38" t="s">
        <v>151</v>
      </c>
      <c r="B38" t="s">
        <v>152</v>
      </c>
      <c r="C38" s="40" t="str">
        <f t="shared" si="3"/>
        <v>430</v>
      </c>
      <c r="D38" s="40" t="str">
        <f t="shared" si="4"/>
        <v>439</v>
      </c>
      <c r="E38" s="40" t="str">
        <f t="shared" si="5"/>
        <v>430-439:KRYSTEN MACLEOD</v>
      </c>
    </row>
    <row r="39" spans="1:6" x14ac:dyDescent="0.25">
      <c r="A39" t="s">
        <v>238</v>
      </c>
      <c r="B39" t="s">
        <v>239</v>
      </c>
      <c r="C39" s="40" t="str">
        <f t="shared" si="3"/>
        <v>440</v>
      </c>
      <c r="D39" s="40" t="str">
        <f t="shared" si="4"/>
        <v>449</v>
      </c>
      <c r="E39" s="40" t="str">
        <f t="shared" si="5"/>
        <v>440-449:LINK TONG</v>
      </c>
      <c r="F39" t="b">
        <v>1</v>
      </c>
    </row>
    <row r="40" spans="1:6" x14ac:dyDescent="0.25">
      <c r="A40" t="s">
        <v>163</v>
      </c>
      <c r="B40" t="s">
        <v>164</v>
      </c>
      <c r="C40" s="40" t="str">
        <f t="shared" si="3"/>
        <v>450</v>
      </c>
      <c r="D40" s="40" t="str">
        <f t="shared" si="4"/>
        <v>459</v>
      </c>
      <c r="E40" s="40" t="str">
        <f t="shared" si="5"/>
        <v>450-459:JACKIE HOPKINS</v>
      </c>
    </row>
    <row r="41" spans="1:6" x14ac:dyDescent="0.25">
      <c r="A41" t="s">
        <v>308</v>
      </c>
      <c r="B41" t="s">
        <v>240</v>
      </c>
      <c r="C41" s="40" t="str">
        <f t="shared" si="3"/>
        <v>460</v>
      </c>
      <c r="D41" s="40" t="str">
        <f t="shared" si="4"/>
        <v>469</v>
      </c>
      <c r="E41" s="40" t="str">
        <f t="shared" si="5"/>
        <v>460-469:MICHAEL BIDOCHK</v>
      </c>
    </row>
    <row r="42" spans="1:6" x14ac:dyDescent="0.25">
      <c r="A42" t="s">
        <v>134</v>
      </c>
      <c r="B42" t="s">
        <v>135</v>
      </c>
      <c r="C42" s="40" t="str">
        <f t="shared" si="3"/>
        <v>470</v>
      </c>
      <c r="D42" s="40" t="str">
        <f t="shared" si="4"/>
        <v>479</v>
      </c>
      <c r="E42" s="40" t="str">
        <f t="shared" si="5"/>
        <v>470-479:JOANNE MATTICE</v>
      </c>
    </row>
    <row r="43" spans="1:6" x14ac:dyDescent="0.25">
      <c r="A43" t="s">
        <v>250</v>
      </c>
      <c r="B43" t="s">
        <v>140</v>
      </c>
      <c r="C43" s="40" t="str">
        <f t="shared" si="3"/>
        <v>480</v>
      </c>
      <c r="D43" s="40" t="str">
        <f t="shared" si="4"/>
        <v>489</v>
      </c>
      <c r="E43" s="40" t="str">
        <f t="shared" si="5"/>
        <v>480-489:LIZ SMITH</v>
      </c>
    </row>
    <row r="44" spans="1:6" x14ac:dyDescent="0.25">
      <c r="A44" t="s">
        <v>155</v>
      </c>
      <c r="B44" t="s">
        <v>156</v>
      </c>
      <c r="C44" s="40" t="str">
        <f t="shared" si="3"/>
        <v>490</v>
      </c>
      <c r="D44" s="40" t="str">
        <f t="shared" si="4"/>
        <v>499</v>
      </c>
      <c r="E44" s="40" t="str">
        <f t="shared" si="5"/>
        <v>490-499:LISA THOMS</v>
      </c>
    </row>
    <row r="45" spans="1:6" x14ac:dyDescent="0.25">
      <c r="A45" t="s">
        <v>204</v>
      </c>
      <c r="B45" t="s">
        <v>205</v>
      </c>
      <c r="C45" s="40" t="str">
        <f t="shared" si="3"/>
        <v>500</v>
      </c>
      <c r="D45" s="40" t="str">
        <f t="shared" si="4"/>
        <v>509</v>
      </c>
      <c r="E45" s="40" t="str">
        <f t="shared" si="5"/>
        <v>500-509:ANA EISENKOELBL</v>
      </c>
    </row>
    <row r="46" spans="1:6" x14ac:dyDescent="0.25">
      <c r="A46" t="s">
        <v>294</v>
      </c>
      <c r="B46" t="s">
        <v>295</v>
      </c>
      <c r="C46" s="40" t="str">
        <f t="shared" si="3"/>
        <v>510</v>
      </c>
      <c r="D46" s="40" t="str">
        <f t="shared" si="4"/>
        <v>519</v>
      </c>
      <c r="E46" s="40" t="str">
        <f t="shared" si="5"/>
        <v>510-519:NANCY BEAMER</v>
      </c>
    </row>
    <row r="47" spans="1:6" x14ac:dyDescent="0.25">
      <c r="A47" t="s">
        <v>143</v>
      </c>
      <c r="B47" t="s">
        <v>144</v>
      </c>
      <c r="C47" s="40" t="str">
        <f t="shared" si="3"/>
        <v>520</v>
      </c>
      <c r="D47" s="40" t="str">
        <f t="shared" si="4"/>
        <v>529</v>
      </c>
      <c r="E47" s="40" t="str">
        <f t="shared" si="5"/>
        <v>520-529:MARY &amp; GILLE</v>
      </c>
    </row>
    <row r="48" spans="1:6" x14ac:dyDescent="0.25">
      <c r="A48" t="s">
        <v>126</v>
      </c>
      <c r="B48" t="s">
        <v>127</v>
      </c>
      <c r="C48" s="40" t="str">
        <f t="shared" si="3"/>
        <v>530</v>
      </c>
      <c r="D48" s="40" t="str">
        <f t="shared" si="4"/>
        <v>539</v>
      </c>
      <c r="E48" s="40" t="str">
        <f t="shared" si="5"/>
        <v>530-539:JESSIE SCHACKMANN</v>
      </c>
    </row>
    <row r="49" spans="1:5" x14ac:dyDescent="0.25">
      <c r="A49" t="s">
        <v>130</v>
      </c>
      <c r="B49" t="s">
        <v>131</v>
      </c>
      <c r="C49" s="40" t="str">
        <f t="shared" si="3"/>
        <v>540</v>
      </c>
      <c r="D49" s="40" t="str">
        <f t="shared" si="4"/>
        <v>549</v>
      </c>
      <c r="E49" s="40" t="str">
        <f t="shared" si="5"/>
        <v>540-549:BARBARA NADEAU</v>
      </c>
    </row>
    <row r="50" spans="1:5" x14ac:dyDescent="0.25">
      <c r="A50" t="s">
        <v>263</v>
      </c>
      <c r="B50" t="s">
        <v>264</v>
      </c>
      <c r="C50" s="40" t="str">
        <f t="shared" si="3"/>
        <v>550</v>
      </c>
      <c r="D50" s="40" t="str">
        <f t="shared" si="4"/>
        <v>559</v>
      </c>
      <c r="E50" s="40" t="str">
        <f t="shared" si="5"/>
        <v>550-559:RALPH KELLY</v>
      </c>
    </row>
    <row r="51" spans="1:5" x14ac:dyDescent="0.25">
      <c r="A51" t="s">
        <v>177</v>
      </c>
      <c r="B51" t="s">
        <v>178</v>
      </c>
      <c r="C51" s="40" t="str">
        <f t="shared" si="3"/>
        <v>570</v>
      </c>
      <c r="D51" s="40" t="str">
        <f t="shared" si="4"/>
        <v>579</v>
      </c>
      <c r="E51" s="40" t="str">
        <f t="shared" si="5"/>
        <v>570-579:ADAM JAROSZYNSKI</v>
      </c>
    </row>
    <row r="52" spans="1:5" x14ac:dyDescent="0.25">
      <c r="A52" t="s">
        <v>241</v>
      </c>
      <c r="B52" t="s">
        <v>242</v>
      </c>
      <c r="C52" s="40" t="str">
        <f t="shared" si="3"/>
        <v>590</v>
      </c>
      <c r="D52" s="40" t="str">
        <f t="shared" si="4"/>
        <v>599</v>
      </c>
      <c r="E52" s="40" t="str">
        <f t="shared" si="5"/>
        <v xml:space="preserve">590-599:BILL TOPPING </v>
      </c>
    </row>
    <row r="53" spans="1:5" x14ac:dyDescent="0.25">
      <c r="A53" t="s">
        <v>147</v>
      </c>
      <c r="B53" t="s">
        <v>148</v>
      </c>
      <c r="C53" s="40" t="str">
        <f t="shared" si="3"/>
        <v>600</v>
      </c>
      <c r="D53" s="40" t="str">
        <f t="shared" si="4"/>
        <v>609</v>
      </c>
      <c r="E53" s="40" t="str">
        <f t="shared" si="5"/>
        <v>600-609:AMY DOCKSTADER</v>
      </c>
    </row>
    <row r="54" spans="1:5" x14ac:dyDescent="0.25">
      <c r="A54" t="s">
        <v>265</v>
      </c>
      <c r="B54" t="s">
        <v>266</v>
      </c>
      <c r="C54" s="40" t="str">
        <f t="shared" si="3"/>
        <v>610</v>
      </c>
      <c r="D54" s="40" t="str">
        <f t="shared" si="4"/>
        <v>619</v>
      </c>
      <c r="E54" s="40" t="str">
        <f t="shared" si="5"/>
        <v>610-619:ROBIN LAUDER</v>
      </c>
    </row>
    <row r="55" spans="1:5" x14ac:dyDescent="0.25">
      <c r="A55" t="s">
        <v>267</v>
      </c>
      <c r="B55" t="s">
        <v>268</v>
      </c>
      <c r="C55" s="40" t="str">
        <f t="shared" si="3"/>
        <v>620</v>
      </c>
      <c r="D55" s="40" t="str">
        <f t="shared" si="4"/>
        <v>629</v>
      </c>
      <c r="E55" s="40" t="str">
        <f t="shared" si="5"/>
        <v>620-629:ROBERT CARRIERE</v>
      </c>
    </row>
    <row r="56" spans="1:5" x14ac:dyDescent="0.25">
      <c r="A56" t="s">
        <v>157</v>
      </c>
      <c r="B56" t="s">
        <v>158</v>
      </c>
      <c r="C56" s="40" t="str">
        <f t="shared" si="3"/>
        <v>630</v>
      </c>
      <c r="D56" s="40" t="str">
        <f t="shared" si="4"/>
        <v>639</v>
      </c>
      <c r="E56" s="40" t="str">
        <f t="shared" si="5"/>
        <v>630-639:CAROL PERRY</v>
      </c>
    </row>
    <row r="57" spans="1:5" x14ac:dyDescent="0.25">
      <c r="A57" t="s">
        <v>173</v>
      </c>
      <c r="B57" t="s">
        <v>174</v>
      </c>
      <c r="C57" s="40" t="str">
        <f t="shared" si="3"/>
        <v>640</v>
      </c>
      <c r="D57" s="40" t="str">
        <f t="shared" si="4"/>
        <v>649</v>
      </c>
      <c r="E57" s="40" t="str">
        <f t="shared" si="5"/>
        <v>640-649:NICKI WILLIAMS TAYS</v>
      </c>
    </row>
    <row r="58" spans="1:5" x14ac:dyDescent="0.25">
      <c r="A58" t="s">
        <v>269</v>
      </c>
      <c r="B58" t="s">
        <v>270</v>
      </c>
      <c r="C58" s="40" t="str">
        <f t="shared" si="3"/>
        <v>650</v>
      </c>
      <c r="D58" s="40" t="str">
        <f t="shared" si="4"/>
        <v>659</v>
      </c>
      <c r="E58" s="40" t="str">
        <f t="shared" si="5"/>
        <v>650-659:JIM ESTOK</v>
      </c>
    </row>
    <row r="59" spans="1:5" x14ac:dyDescent="0.25">
      <c r="A59" t="s">
        <v>149</v>
      </c>
      <c r="B59" t="s">
        <v>150</v>
      </c>
      <c r="C59" s="40" t="str">
        <f t="shared" si="3"/>
        <v>660</v>
      </c>
      <c r="D59" s="40" t="str">
        <f t="shared" si="4"/>
        <v>669</v>
      </c>
      <c r="E59" s="40" t="str">
        <f t="shared" si="5"/>
        <v>660-669:MICHELLE KUIJER</v>
      </c>
    </row>
    <row r="60" spans="1:5" x14ac:dyDescent="0.25">
      <c r="A60" t="s">
        <v>243</v>
      </c>
      <c r="B60" t="s">
        <v>244</v>
      </c>
      <c r="C60" s="40" t="str">
        <f t="shared" si="3"/>
        <v>670</v>
      </c>
      <c r="D60" s="40" t="str">
        <f t="shared" si="4"/>
        <v>679</v>
      </c>
      <c r="E60" s="40" t="str">
        <f t="shared" si="5"/>
        <v>670-679:ELLA ZAREVICH</v>
      </c>
    </row>
    <row r="61" spans="1:5" x14ac:dyDescent="0.25">
      <c r="A61" t="s">
        <v>245</v>
      </c>
      <c r="B61" t="s">
        <v>246</v>
      </c>
      <c r="C61" s="40" t="str">
        <f t="shared" si="3"/>
        <v>690</v>
      </c>
      <c r="D61" s="40" t="str">
        <f t="shared" si="4"/>
        <v>699</v>
      </c>
      <c r="E61" s="40" t="str">
        <f t="shared" si="5"/>
        <v>690-699:DEBBIE MYRE</v>
      </c>
    </row>
    <row r="62" spans="1:5" x14ac:dyDescent="0.25">
      <c r="A62" t="s">
        <v>273</v>
      </c>
      <c r="B62" t="s">
        <v>274</v>
      </c>
      <c r="C62" s="40" t="str">
        <f t="shared" si="3"/>
        <v>710</v>
      </c>
      <c r="D62" s="40" t="str">
        <f t="shared" si="4"/>
        <v>719</v>
      </c>
      <c r="E62" s="40" t="str">
        <f t="shared" si="5"/>
        <v>710-719:SHERYL BOWSLAUGH</v>
      </c>
    </row>
    <row r="63" spans="1:5" x14ac:dyDescent="0.25">
      <c r="A63" t="s">
        <v>182</v>
      </c>
      <c r="B63" t="s">
        <v>183</v>
      </c>
      <c r="C63" s="40" t="str">
        <f t="shared" si="3"/>
        <v>720</v>
      </c>
      <c r="D63" s="40" t="str">
        <f t="shared" si="4"/>
        <v>729</v>
      </c>
      <c r="E63" s="40" t="str">
        <f t="shared" si="5"/>
        <v>720-729:JACKIE KEANE</v>
      </c>
    </row>
    <row r="64" spans="1:5" x14ac:dyDescent="0.25">
      <c r="A64" t="s">
        <v>180</v>
      </c>
      <c r="B64" t="s">
        <v>181</v>
      </c>
      <c r="C64" s="40" t="str">
        <f t="shared" si="3"/>
        <v>730</v>
      </c>
      <c r="D64" s="40" t="str">
        <f t="shared" si="4"/>
        <v>739</v>
      </c>
      <c r="E64" s="40" t="str">
        <f t="shared" si="5"/>
        <v>730-739:STEPHEN VAZ</v>
      </c>
    </row>
    <row r="65" spans="1:9" x14ac:dyDescent="0.25">
      <c r="A65" t="s">
        <v>167</v>
      </c>
      <c r="B65" t="s">
        <v>168</v>
      </c>
      <c r="C65" s="40" t="str">
        <f t="shared" si="3"/>
        <v>740</v>
      </c>
      <c r="D65" s="40" t="str">
        <f t="shared" si="4"/>
        <v>749</v>
      </c>
      <c r="E65" s="40" t="str">
        <f t="shared" si="5"/>
        <v>740-749:DEBBIE MEAGHER</v>
      </c>
    </row>
    <row r="66" spans="1:9" x14ac:dyDescent="0.25">
      <c r="A66" t="s">
        <v>169</v>
      </c>
      <c r="B66" t="s">
        <v>170</v>
      </c>
      <c r="C66" s="40" t="str">
        <f t="shared" ref="C66:C88" si="6">MID(B66, 2, FIND("-",B66)-2)</f>
        <v>750</v>
      </c>
      <c r="D66" s="40" t="str">
        <f t="shared" ref="D66:D88" si="7">MID(B66, FIND("-",B66)+1,4)</f>
        <v>759</v>
      </c>
      <c r="E66" s="40" t="str">
        <f t="shared" ref="E66:E88" si="8">CONCATENATE(C66,"-",D66,":",A66)</f>
        <v>750-759:KAY TROTMAN</v>
      </c>
    </row>
    <row r="67" spans="1:9" x14ac:dyDescent="0.25">
      <c r="A67" t="s">
        <v>124</v>
      </c>
      <c r="B67" t="s">
        <v>125</v>
      </c>
      <c r="C67" s="40" t="str">
        <f t="shared" si="6"/>
        <v>760</v>
      </c>
      <c r="D67" s="40" t="str">
        <f t="shared" si="7"/>
        <v>769</v>
      </c>
      <c r="E67" s="40" t="str">
        <f t="shared" si="8"/>
        <v>760-769:TAMMI WILSON</v>
      </c>
    </row>
    <row r="68" spans="1:9" x14ac:dyDescent="0.25">
      <c r="A68" t="s">
        <v>165</v>
      </c>
      <c r="B68" t="s">
        <v>166</v>
      </c>
      <c r="C68" s="40" t="str">
        <f t="shared" si="6"/>
        <v>770</v>
      </c>
      <c r="D68" s="40" t="str">
        <f t="shared" si="7"/>
        <v>779</v>
      </c>
      <c r="E68" s="40" t="str">
        <f t="shared" si="8"/>
        <v>770-779:TERRY MITCHELL</v>
      </c>
      <c r="F68" t="b">
        <v>1</v>
      </c>
    </row>
    <row r="69" spans="1:9" x14ac:dyDescent="0.25">
      <c r="A69" t="s">
        <v>171</v>
      </c>
      <c r="B69" t="s">
        <v>172</v>
      </c>
      <c r="C69" s="40" t="str">
        <f t="shared" si="6"/>
        <v>780</v>
      </c>
      <c r="D69" s="40" t="str">
        <f t="shared" si="7"/>
        <v>789</v>
      </c>
      <c r="E69" s="40" t="str">
        <f t="shared" si="8"/>
        <v>780-789:KAREN THOMPSON</v>
      </c>
    </row>
    <row r="70" spans="1:9" x14ac:dyDescent="0.25">
      <c r="A70" t="s">
        <v>302</v>
      </c>
      <c r="B70" t="s">
        <v>303</v>
      </c>
      <c r="C70" s="40" t="str">
        <f t="shared" si="6"/>
        <v>790</v>
      </c>
      <c r="D70" s="40" t="str">
        <f t="shared" si="7"/>
        <v>799</v>
      </c>
      <c r="E70" s="40" t="str">
        <f t="shared" si="8"/>
        <v>790-799:RON&amp;CHRISTINELANDRY</v>
      </c>
    </row>
    <row r="71" spans="1:9" x14ac:dyDescent="0.25">
      <c r="A71" t="s">
        <v>305</v>
      </c>
      <c r="B71" t="s">
        <v>277</v>
      </c>
      <c r="C71" s="40" t="str">
        <f t="shared" si="6"/>
        <v>800</v>
      </c>
      <c r="D71" s="40" t="str">
        <f t="shared" si="7"/>
        <v>809</v>
      </c>
      <c r="E71" s="40" t="str">
        <f t="shared" si="8"/>
        <v>800-809:MARIE LANDONI</v>
      </c>
    </row>
    <row r="72" spans="1:9" x14ac:dyDescent="0.25">
      <c r="A72" t="s">
        <v>212</v>
      </c>
      <c r="B72" t="s">
        <v>200</v>
      </c>
      <c r="C72" s="40" t="str">
        <f t="shared" si="6"/>
        <v>810</v>
      </c>
      <c r="D72" s="40" t="str">
        <f t="shared" si="7"/>
        <v>819</v>
      </c>
      <c r="E72" s="40" t="str">
        <f t="shared" si="8"/>
        <v>810-819:OURS</v>
      </c>
      <c r="F72" s="36" t="b">
        <v>1</v>
      </c>
    </row>
    <row r="73" spans="1:9" x14ac:dyDescent="0.25">
      <c r="A73" t="s">
        <v>275</v>
      </c>
      <c r="B73" t="s">
        <v>276</v>
      </c>
      <c r="C73" s="40" t="str">
        <f t="shared" si="6"/>
        <v>820</v>
      </c>
      <c r="D73" s="40" t="str">
        <f t="shared" si="7"/>
        <v>829</v>
      </c>
      <c r="E73" s="40" t="str">
        <f t="shared" si="8"/>
        <v>820-829:LINDA JOHNSON</v>
      </c>
    </row>
    <row r="74" spans="1:9" x14ac:dyDescent="0.25">
      <c r="A74" t="s">
        <v>278</v>
      </c>
      <c r="B74" t="s">
        <v>281</v>
      </c>
      <c r="C74" s="40" t="str">
        <f t="shared" si="6"/>
        <v>830</v>
      </c>
      <c r="D74" s="40" t="str">
        <f t="shared" si="7"/>
        <v>839</v>
      </c>
      <c r="E74" s="40" t="str">
        <f t="shared" si="8"/>
        <v>830-839:STEPHANIE PIORIER</v>
      </c>
    </row>
    <row r="75" spans="1:9" x14ac:dyDescent="0.25">
      <c r="A75" t="s">
        <v>141</v>
      </c>
      <c r="B75" t="s">
        <v>142</v>
      </c>
      <c r="C75" s="40" t="str">
        <f t="shared" si="6"/>
        <v>840</v>
      </c>
      <c r="D75" s="40" t="str">
        <f t="shared" si="7"/>
        <v>849</v>
      </c>
      <c r="E75" s="40" t="str">
        <f t="shared" si="8"/>
        <v>840-849:KIM ROBINSON</v>
      </c>
    </row>
    <row r="76" spans="1:9" x14ac:dyDescent="0.25">
      <c r="A76" t="s">
        <v>289</v>
      </c>
      <c r="B76" t="s">
        <v>288</v>
      </c>
      <c r="C76" s="40" t="str">
        <f t="shared" si="6"/>
        <v>850</v>
      </c>
      <c r="D76" s="40" t="str">
        <f t="shared" si="7"/>
        <v>859</v>
      </c>
      <c r="E76" s="40" t="str">
        <f t="shared" si="8"/>
        <v>850-859:DON HARROD</v>
      </c>
    </row>
    <row r="77" spans="1:9" x14ac:dyDescent="0.25">
      <c r="A77" t="s">
        <v>290</v>
      </c>
      <c r="B77" t="s">
        <v>291</v>
      </c>
      <c r="C77" s="40" t="str">
        <f t="shared" si="6"/>
        <v>860</v>
      </c>
      <c r="D77" s="40" t="str">
        <f t="shared" si="7"/>
        <v>869</v>
      </c>
      <c r="E77" s="40" t="str">
        <f t="shared" si="8"/>
        <v>860-869:NADINE NUXOLL</v>
      </c>
    </row>
    <row r="78" spans="1:9" x14ac:dyDescent="0.25">
      <c r="A78" t="s">
        <v>309</v>
      </c>
      <c r="B78" t="s">
        <v>247</v>
      </c>
      <c r="C78" s="40" t="str">
        <f t="shared" si="6"/>
        <v>870</v>
      </c>
      <c r="D78" s="40" t="str">
        <f t="shared" si="7"/>
        <v>879</v>
      </c>
      <c r="E78" s="40" t="str">
        <f t="shared" si="8"/>
        <v>870-879:PATTI SIMEK</v>
      </c>
    </row>
    <row r="79" spans="1:9" x14ac:dyDescent="0.25">
      <c r="A79" t="s">
        <v>284</v>
      </c>
      <c r="B79" t="s">
        <v>285</v>
      </c>
      <c r="C79" s="40" t="str">
        <f t="shared" si="6"/>
        <v>880</v>
      </c>
      <c r="D79" s="40" t="str">
        <f t="shared" si="7"/>
        <v>889</v>
      </c>
      <c r="E79" s="40" t="str">
        <f t="shared" si="8"/>
        <v>880-889:KEN SMITH</v>
      </c>
      <c r="I79" t="s">
        <v>298</v>
      </c>
    </row>
    <row r="80" spans="1:9" x14ac:dyDescent="0.25">
      <c r="A80" t="s">
        <v>286</v>
      </c>
      <c r="B80" t="s">
        <v>287</v>
      </c>
      <c r="C80" s="40" t="str">
        <f t="shared" si="6"/>
        <v>890</v>
      </c>
      <c r="D80" s="40" t="str">
        <f t="shared" si="7"/>
        <v>899</v>
      </c>
      <c r="E80" s="40" t="str">
        <f t="shared" si="8"/>
        <v>890-899:JENNIFER OOSTERLAKEN</v>
      </c>
      <c r="F80" t="b">
        <v>1</v>
      </c>
    </row>
    <row r="81" spans="1:6" x14ac:dyDescent="0.25">
      <c r="A81" t="s">
        <v>293</v>
      </c>
      <c r="B81" t="s">
        <v>292</v>
      </c>
      <c r="C81" s="40" t="str">
        <f t="shared" si="6"/>
        <v>900</v>
      </c>
      <c r="D81" s="40" t="str">
        <f t="shared" si="7"/>
        <v>909</v>
      </c>
      <c r="E81" s="40" t="str">
        <f t="shared" si="8"/>
        <v>900-909:LESLIE TAYLOR</v>
      </c>
    </row>
    <row r="82" spans="1:6" x14ac:dyDescent="0.25">
      <c r="A82" t="s">
        <v>67</v>
      </c>
      <c r="B82" t="s">
        <v>203</v>
      </c>
      <c r="C82" s="40" t="str">
        <f t="shared" si="6"/>
        <v>910</v>
      </c>
      <c r="D82" s="40" t="str">
        <f t="shared" si="7"/>
        <v>919</v>
      </c>
      <c r="E82" s="40" t="str">
        <f t="shared" si="8"/>
        <v>910-919:MENNONITE</v>
      </c>
      <c r="F82" s="36" t="b">
        <v>1</v>
      </c>
    </row>
    <row r="83" spans="1:6" x14ac:dyDescent="0.25">
      <c r="A83" t="s">
        <v>159</v>
      </c>
      <c r="B83" t="s">
        <v>160</v>
      </c>
      <c r="C83" s="40" t="str">
        <f t="shared" si="6"/>
        <v>920</v>
      </c>
      <c r="D83" s="40" t="str">
        <f t="shared" si="7"/>
        <v>929</v>
      </c>
      <c r="E83" s="40" t="str">
        <f t="shared" si="8"/>
        <v>920-929:SUSAN HOLLY</v>
      </c>
    </row>
    <row r="84" spans="1:6" x14ac:dyDescent="0.25">
      <c r="A84" t="s">
        <v>206</v>
      </c>
      <c r="B84" t="s">
        <v>207</v>
      </c>
      <c r="C84" s="40" t="str">
        <f t="shared" si="6"/>
        <v>930</v>
      </c>
      <c r="D84" s="40" t="str">
        <f t="shared" si="7"/>
        <v>939</v>
      </c>
      <c r="E84" s="40" t="str">
        <f t="shared" si="8"/>
        <v>930-939:JAN DIMARTINO</v>
      </c>
    </row>
    <row r="85" spans="1:6" x14ac:dyDescent="0.25">
      <c r="A85" t="s">
        <v>253</v>
      </c>
      <c r="B85" t="s">
        <v>255</v>
      </c>
      <c r="C85" s="40" t="str">
        <f t="shared" si="6"/>
        <v>940</v>
      </c>
      <c r="D85" s="40" t="str">
        <f t="shared" si="7"/>
        <v>949</v>
      </c>
      <c r="E85" s="40" t="str">
        <f t="shared" si="8"/>
        <v>940-949:MARG ROUTLEDGE</v>
      </c>
    </row>
    <row r="86" spans="1:6" x14ac:dyDescent="0.25">
      <c r="A86" t="s">
        <v>248</v>
      </c>
      <c r="B86" t="s">
        <v>249</v>
      </c>
      <c r="C86" s="40" t="str">
        <f t="shared" si="6"/>
        <v>950</v>
      </c>
      <c r="D86" s="40" t="str">
        <f t="shared" si="7"/>
        <v>959</v>
      </c>
      <c r="E86" s="40" t="str">
        <f t="shared" si="8"/>
        <v>950-959:CHERYL CHIARELLI</v>
      </c>
    </row>
    <row r="87" spans="1:6" x14ac:dyDescent="0.25">
      <c r="A87" t="s">
        <v>282</v>
      </c>
      <c r="B87" t="s">
        <v>283</v>
      </c>
      <c r="C87" s="40" t="str">
        <f t="shared" si="6"/>
        <v>970</v>
      </c>
      <c r="D87" s="40" t="str">
        <f t="shared" si="7"/>
        <v>979</v>
      </c>
      <c r="E87" s="40" t="str">
        <f t="shared" si="8"/>
        <v>970-979:PAT CARRIERE</v>
      </c>
    </row>
    <row r="88" spans="1:6" x14ac:dyDescent="0.25">
      <c r="A88" t="s">
        <v>279</v>
      </c>
      <c r="B88" t="s">
        <v>280</v>
      </c>
      <c r="C88" s="40" t="str">
        <f t="shared" si="6"/>
        <v>980</v>
      </c>
      <c r="D88" s="40" t="str">
        <f t="shared" si="7"/>
        <v>989</v>
      </c>
      <c r="E88" s="40" t="str">
        <f t="shared" si="8"/>
        <v>980-989:KATHIE&amp;JOE MACHIDA</v>
      </c>
    </row>
  </sheetData>
  <autoFilter ref="A1:F71" xr:uid="{00000000-0009-0000-0000-000000000000}">
    <sortState ref="A2:F88">
      <sortCondition ref="B1:B7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4"/>
  <dimension ref="A1:P58"/>
  <sheetViews>
    <sheetView workbookViewId="0">
      <selection activeCell="E7" sqref="E7"/>
    </sheetView>
  </sheetViews>
  <sheetFormatPr defaultRowHeight="15" x14ac:dyDescent="0.25"/>
  <cols>
    <col min="1" max="1" width="16.140625" customWidth="1"/>
    <col min="5" max="5" width="18" bestFit="1" customWidth="1"/>
    <col min="7" max="7" width="22.42578125" bestFit="1" customWidth="1"/>
    <col min="8" max="8" width="7.5703125" bestFit="1" customWidth="1"/>
    <col min="9" max="9" width="6.5703125" bestFit="1" customWidth="1"/>
    <col min="10" max="10" width="7.5703125" bestFit="1" customWidth="1"/>
    <col min="11" max="11" width="15.140625" bestFit="1" customWidth="1"/>
    <col min="12" max="12" width="4.42578125" bestFit="1" customWidth="1"/>
    <col min="13" max="13" width="10.42578125" bestFit="1" customWidth="1"/>
    <col min="16" max="16" width="30.28515625" bestFit="1" customWidth="1"/>
  </cols>
  <sheetData>
    <row r="1" spans="1:16" x14ac:dyDescent="0.25">
      <c r="A1" t="s">
        <v>116</v>
      </c>
      <c r="E1" s="19" t="s">
        <v>187</v>
      </c>
    </row>
    <row r="2" spans="1:16" ht="15.75" thickBot="1" x14ac:dyDescent="0.3">
      <c r="A2">
        <v>0.06</v>
      </c>
      <c r="E2" s="20">
        <v>4</v>
      </c>
      <c r="H2" s="15"/>
      <c r="I2" s="15"/>
      <c r="J2" s="15"/>
      <c r="L2" s="15"/>
      <c r="M2" s="15"/>
      <c r="N2" s="15"/>
      <c r="O2" s="15"/>
      <c r="P2" s="15"/>
    </row>
    <row r="3" spans="1:16" x14ac:dyDescent="0.25">
      <c r="A3" t="s">
        <v>117</v>
      </c>
    </row>
    <row r="4" spans="1:16" x14ac:dyDescent="0.25">
      <c r="A4">
        <v>0.02</v>
      </c>
      <c r="H4" s="15"/>
      <c r="L4" s="15"/>
    </row>
    <row r="5" spans="1:16" x14ac:dyDescent="0.25">
      <c r="A5" t="s">
        <v>118</v>
      </c>
      <c r="H5" s="15"/>
      <c r="L5" s="15"/>
    </row>
    <row r="6" spans="1:16" x14ac:dyDescent="0.25">
      <c r="A6">
        <v>2.6499999999999999E-2</v>
      </c>
      <c r="H6" s="16"/>
      <c r="I6" s="16"/>
      <c r="J6" s="16"/>
      <c r="K6" s="15"/>
      <c r="L6" s="15"/>
    </row>
    <row r="7" spans="1:16" x14ac:dyDescent="0.25">
      <c r="A7" t="s">
        <v>188</v>
      </c>
      <c r="H7" s="16"/>
      <c r="I7" s="16"/>
      <c r="J7" s="16"/>
      <c r="K7" s="15"/>
      <c r="L7" s="15"/>
    </row>
    <row r="8" spans="1:16" x14ac:dyDescent="0.25">
      <c r="A8">
        <v>9.5000000000000001E-2</v>
      </c>
      <c r="H8" s="16"/>
      <c r="I8" s="16"/>
      <c r="J8" s="16"/>
      <c r="K8" s="15"/>
      <c r="L8" s="15"/>
    </row>
    <row r="9" spans="1:16" x14ac:dyDescent="0.25">
      <c r="H9" s="16"/>
      <c r="I9" s="16"/>
      <c r="J9" s="16"/>
      <c r="K9" s="15"/>
      <c r="L9" s="15"/>
    </row>
    <row r="10" spans="1:16" x14ac:dyDescent="0.25">
      <c r="H10" s="16"/>
      <c r="I10" s="16"/>
      <c r="J10" s="16"/>
      <c r="K10" s="15"/>
      <c r="L10" s="15"/>
    </row>
    <row r="11" spans="1:16" x14ac:dyDescent="0.25">
      <c r="H11" s="16"/>
      <c r="I11" s="16"/>
      <c r="J11" s="16"/>
      <c r="K11" s="15"/>
      <c r="L11" s="15"/>
    </row>
    <row r="12" spans="1:16" x14ac:dyDescent="0.25">
      <c r="H12" s="16"/>
      <c r="I12" s="16"/>
      <c r="J12" s="16"/>
      <c r="K12" s="15"/>
      <c r="L12" s="15"/>
    </row>
    <row r="13" spans="1:16" x14ac:dyDescent="0.25">
      <c r="H13" s="16"/>
      <c r="I13" s="16"/>
      <c r="J13" s="16"/>
      <c r="K13" s="15"/>
      <c r="L13" s="15"/>
    </row>
    <row r="14" spans="1:16" x14ac:dyDescent="0.25">
      <c r="H14" s="16"/>
      <c r="I14" s="16"/>
      <c r="J14" s="16"/>
      <c r="K14" s="15"/>
      <c r="L14" s="15"/>
    </row>
    <row r="15" spans="1:16" x14ac:dyDescent="0.25">
      <c r="H15" s="16"/>
      <c r="I15" s="16"/>
      <c r="J15" s="16"/>
      <c r="K15" s="15"/>
      <c r="L15" s="15"/>
    </row>
    <row r="16" spans="1:16" x14ac:dyDescent="0.25">
      <c r="H16" s="16"/>
      <c r="I16" s="16"/>
      <c r="J16" s="16"/>
      <c r="K16" s="15"/>
      <c r="L16" s="15"/>
    </row>
    <row r="17" spans="8:12" x14ac:dyDescent="0.25">
      <c r="H17" s="16"/>
      <c r="I17" s="16"/>
      <c r="J17" s="16"/>
      <c r="K17" s="15"/>
      <c r="L17" s="15"/>
    </row>
    <row r="18" spans="8:12" x14ac:dyDescent="0.25">
      <c r="H18" s="16"/>
      <c r="I18" s="16"/>
      <c r="J18" s="16"/>
      <c r="K18" s="15"/>
      <c r="L18" s="15"/>
    </row>
    <row r="19" spans="8:12" x14ac:dyDescent="0.25">
      <c r="H19" s="16"/>
      <c r="I19" s="16"/>
      <c r="J19" s="16"/>
      <c r="K19" s="15"/>
      <c r="L19" s="15"/>
    </row>
    <row r="20" spans="8:12" x14ac:dyDescent="0.25">
      <c r="H20" s="16"/>
      <c r="I20" s="16"/>
      <c r="J20" s="16"/>
      <c r="K20" s="15"/>
      <c r="L20" s="15"/>
    </row>
    <row r="21" spans="8:12" x14ac:dyDescent="0.25">
      <c r="H21" s="16"/>
      <c r="I21" s="16"/>
      <c r="J21" s="16"/>
      <c r="K21" s="15"/>
      <c r="L21" s="15"/>
    </row>
    <row r="22" spans="8:12" x14ac:dyDescent="0.25">
      <c r="H22" s="16"/>
      <c r="I22" s="16"/>
      <c r="J22" s="16"/>
      <c r="K22" s="15"/>
      <c r="L22" s="15"/>
    </row>
    <row r="23" spans="8:12" x14ac:dyDescent="0.25">
      <c r="H23" s="16"/>
      <c r="I23" s="16"/>
      <c r="J23" s="16"/>
      <c r="K23" s="15"/>
      <c r="L23" s="15"/>
    </row>
    <row r="24" spans="8:12" x14ac:dyDescent="0.25">
      <c r="H24" s="16"/>
      <c r="I24" s="16"/>
      <c r="J24" s="16"/>
      <c r="L24" s="15"/>
    </row>
    <row r="25" spans="8:12" x14ac:dyDescent="0.25">
      <c r="H25" s="16"/>
      <c r="I25" s="16"/>
      <c r="J25" s="16"/>
      <c r="K25" s="15"/>
      <c r="L25" s="15"/>
    </row>
    <row r="26" spans="8:12" x14ac:dyDescent="0.25">
      <c r="H26" s="16"/>
      <c r="I26" s="16"/>
      <c r="J26" s="16"/>
      <c r="K26" s="15"/>
      <c r="L26" s="15"/>
    </row>
    <row r="27" spans="8:12" x14ac:dyDescent="0.25">
      <c r="H27" s="16"/>
      <c r="I27" s="16"/>
      <c r="J27" s="16"/>
      <c r="K27" s="15"/>
      <c r="L27" s="15"/>
    </row>
    <row r="28" spans="8:12" x14ac:dyDescent="0.25">
      <c r="H28" s="16"/>
      <c r="I28" s="16"/>
      <c r="J28" s="16"/>
      <c r="K28" s="15"/>
      <c r="L28" s="15"/>
    </row>
    <row r="29" spans="8:12" x14ac:dyDescent="0.25">
      <c r="H29" s="16"/>
      <c r="I29" s="16"/>
      <c r="J29" s="16"/>
      <c r="K29" s="15"/>
      <c r="L29" s="15"/>
    </row>
    <row r="30" spans="8:12" x14ac:dyDescent="0.25">
      <c r="H30" s="16"/>
      <c r="I30" s="16"/>
      <c r="J30" s="16"/>
      <c r="K30" s="15"/>
      <c r="L30" s="15"/>
    </row>
    <row r="31" spans="8:12" x14ac:dyDescent="0.25">
      <c r="H31" s="16"/>
      <c r="I31" s="16"/>
      <c r="J31" s="16"/>
      <c r="K31" s="15"/>
      <c r="L31" s="15"/>
    </row>
    <row r="32" spans="8:12" x14ac:dyDescent="0.25">
      <c r="H32" s="16"/>
      <c r="I32" s="16"/>
      <c r="J32" s="16"/>
      <c r="K32" s="15"/>
      <c r="L32" s="15"/>
    </row>
    <row r="33" spans="8:12" x14ac:dyDescent="0.25">
      <c r="H33" s="16"/>
      <c r="I33" s="16"/>
      <c r="J33" s="16"/>
      <c r="K33" s="15"/>
      <c r="L33" s="15"/>
    </row>
    <row r="34" spans="8:12" x14ac:dyDescent="0.25">
      <c r="H34" s="16"/>
      <c r="I34" s="16"/>
      <c r="J34" s="16"/>
      <c r="K34" s="15"/>
      <c r="L34" s="15"/>
    </row>
    <row r="35" spans="8:12" x14ac:dyDescent="0.25">
      <c r="H35" s="16"/>
      <c r="I35" s="16"/>
      <c r="J35" s="16"/>
      <c r="L35" s="15"/>
    </row>
    <row r="36" spans="8:12" x14ac:dyDescent="0.25">
      <c r="H36" s="16"/>
      <c r="I36" s="16"/>
      <c r="J36" s="16"/>
      <c r="K36" s="15"/>
      <c r="L36" s="15"/>
    </row>
    <row r="37" spans="8:12" x14ac:dyDescent="0.25">
      <c r="H37" s="16"/>
      <c r="I37" s="16"/>
      <c r="J37" s="16"/>
      <c r="K37" s="15"/>
      <c r="L37" s="15"/>
    </row>
    <row r="38" spans="8:12" x14ac:dyDescent="0.25">
      <c r="H38" s="16"/>
      <c r="I38" s="16"/>
      <c r="J38" s="16"/>
      <c r="L38" s="15"/>
    </row>
    <row r="39" spans="8:12" x14ac:dyDescent="0.25">
      <c r="H39" s="16"/>
      <c r="I39" s="16"/>
      <c r="J39" s="16"/>
      <c r="K39" s="15"/>
      <c r="L39" s="15"/>
    </row>
    <row r="40" spans="8:12" x14ac:dyDescent="0.25">
      <c r="H40" s="16"/>
      <c r="I40" s="16"/>
      <c r="J40" s="16"/>
      <c r="K40" s="15"/>
      <c r="L40" s="15"/>
    </row>
    <row r="41" spans="8:12" x14ac:dyDescent="0.25">
      <c r="H41" s="16"/>
      <c r="I41" s="16"/>
      <c r="J41" s="16"/>
      <c r="K41" s="15"/>
      <c r="L41" s="15"/>
    </row>
    <row r="42" spans="8:12" x14ac:dyDescent="0.25">
      <c r="H42" s="16"/>
      <c r="I42" s="16"/>
      <c r="J42" s="16"/>
      <c r="K42" s="15"/>
      <c r="L42" s="15"/>
    </row>
    <row r="43" spans="8:12" x14ac:dyDescent="0.25">
      <c r="H43" s="16"/>
      <c r="I43" s="16"/>
      <c r="J43" s="16"/>
      <c r="K43" s="15"/>
      <c r="L43" s="15"/>
    </row>
    <row r="44" spans="8:12" x14ac:dyDescent="0.25">
      <c r="H44" s="16"/>
      <c r="I44" s="16"/>
      <c r="J44" s="16"/>
      <c r="K44" s="15"/>
      <c r="L44" s="15"/>
    </row>
    <row r="45" spans="8:12" x14ac:dyDescent="0.25">
      <c r="H45" s="16"/>
      <c r="I45" s="16"/>
      <c r="J45" s="16"/>
      <c r="K45" s="15"/>
      <c r="L45" s="15"/>
    </row>
    <row r="46" spans="8:12" x14ac:dyDescent="0.25">
      <c r="H46" s="16"/>
      <c r="I46" s="16"/>
      <c r="J46" s="16"/>
      <c r="K46" s="15"/>
      <c r="L46" s="15"/>
    </row>
    <row r="47" spans="8:12" x14ac:dyDescent="0.25">
      <c r="H47" s="16"/>
      <c r="I47" s="16"/>
      <c r="J47" s="16"/>
      <c r="K47" s="15"/>
      <c r="L47" s="15"/>
    </row>
    <row r="48" spans="8:12" x14ac:dyDescent="0.25">
      <c r="H48" s="16"/>
      <c r="I48" s="16"/>
      <c r="J48" s="16"/>
      <c r="K48" s="15"/>
      <c r="L48" s="15"/>
    </row>
    <row r="49" spans="8:12" x14ac:dyDescent="0.25">
      <c r="H49" s="16"/>
      <c r="I49" s="16"/>
      <c r="J49" s="16"/>
      <c r="K49" s="15"/>
      <c r="L49" s="15"/>
    </row>
    <row r="50" spans="8:12" x14ac:dyDescent="0.25">
      <c r="H50" s="16"/>
      <c r="I50" s="16"/>
      <c r="J50" s="16"/>
      <c r="K50" s="15"/>
      <c r="L50" s="15"/>
    </row>
    <row r="51" spans="8:12" x14ac:dyDescent="0.25">
      <c r="H51" s="16"/>
      <c r="I51" s="16"/>
      <c r="J51" s="16"/>
      <c r="K51" s="15"/>
      <c r="L51" s="15"/>
    </row>
    <row r="52" spans="8:12" x14ac:dyDescent="0.25">
      <c r="H52" s="16"/>
      <c r="I52" s="16"/>
      <c r="J52" s="16"/>
      <c r="K52" s="15"/>
      <c r="L52" s="15"/>
    </row>
    <row r="53" spans="8:12" x14ac:dyDescent="0.25">
      <c r="H53" s="16"/>
      <c r="I53" s="16"/>
      <c r="J53" s="16"/>
      <c r="K53" s="15"/>
      <c r="L53" s="15"/>
    </row>
    <row r="54" spans="8:12" x14ac:dyDescent="0.25">
      <c r="H54" s="16"/>
      <c r="I54" s="16"/>
      <c r="J54" s="16"/>
      <c r="K54" s="15"/>
      <c r="L54" s="15"/>
    </row>
    <row r="55" spans="8:12" x14ac:dyDescent="0.25">
      <c r="H55" s="16"/>
      <c r="I55" s="16"/>
      <c r="J55" s="16"/>
      <c r="K55" s="15"/>
      <c r="L55" s="15"/>
    </row>
    <row r="56" spans="8:12" x14ac:dyDescent="0.25">
      <c r="H56" s="16"/>
      <c r="I56" s="16"/>
      <c r="J56" s="16"/>
      <c r="L56" s="15"/>
    </row>
    <row r="57" spans="8:12" x14ac:dyDescent="0.25">
      <c r="H57" s="16"/>
      <c r="I57" s="16"/>
      <c r="J57" s="16"/>
    </row>
    <row r="58" spans="8:12" x14ac:dyDescent="0.25">
      <c r="H58" s="16"/>
      <c r="I58" s="16"/>
      <c r="J58" s="16"/>
      <c r="K58" s="15"/>
      <c r="L58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5"/>
  <sheetViews>
    <sheetView workbookViewId="0">
      <pane ySplit="1" topLeftCell="A2" activePane="bottomLeft" state="frozen"/>
      <selection pane="bottomLeft" activeCell="D6" sqref="D6"/>
    </sheetView>
  </sheetViews>
  <sheetFormatPr defaultRowHeight="15" x14ac:dyDescent="0.25"/>
  <cols>
    <col min="1" max="1" width="10.42578125" bestFit="1" customWidth="1"/>
    <col min="2" max="3" width="10.42578125" style="29" customWidth="1"/>
    <col min="4" max="4" width="11.7109375" customWidth="1"/>
    <col min="5" max="5" width="4" customWidth="1"/>
    <col min="6" max="6" width="10" style="34" bestFit="1" customWidth="1"/>
    <col min="7" max="7" width="10.7109375" style="26" bestFit="1" customWidth="1"/>
  </cols>
  <sheetData>
    <row r="1" spans="1:7" ht="30.75" customHeight="1" thickBot="1" x14ac:dyDescent="0.3">
      <c r="A1" s="21" t="s">
        <v>1</v>
      </c>
      <c r="B1" s="27" t="s">
        <v>189</v>
      </c>
      <c r="C1" s="27" t="s">
        <v>190</v>
      </c>
      <c r="D1" s="21" t="s">
        <v>3</v>
      </c>
      <c r="E1" s="21" t="s">
        <v>191</v>
      </c>
      <c r="F1" s="37" t="s">
        <v>192</v>
      </c>
      <c r="G1" s="24" t="s">
        <v>197</v>
      </c>
    </row>
    <row r="2" spans="1:7" ht="30.75" customHeight="1" x14ac:dyDescent="0.25">
      <c r="A2" s="23"/>
      <c r="B2" s="28"/>
      <c r="C2" s="28"/>
      <c r="D2" s="22"/>
      <c r="E2" s="22"/>
      <c r="F2" s="38"/>
      <c r="G2" s="25"/>
    </row>
    <row r="3" spans="1:7" x14ac:dyDescent="0.25">
      <c r="A3" s="23"/>
      <c r="B3" s="28"/>
      <c r="C3" s="28"/>
      <c r="D3" s="22"/>
      <c r="E3" s="22"/>
      <c r="F3" s="38"/>
      <c r="G3" s="25"/>
    </row>
    <row r="4" spans="1:7" x14ac:dyDescent="0.25">
      <c r="A4" s="23"/>
      <c r="B4" s="28"/>
      <c r="C4" s="28"/>
      <c r="D4" s="22"/>
      <c r="E4" s="22"/>
      <c r="F4" s="38"/>
      <c r="G4" s="38"/>
    </row>
    <row r="5" spans="1:7" x14ac:dyDescent="0.25">
      <c r="A5" s="23"/>
      <c r="B5" s="28"/>
      <c r="C5" s="28"/>
      <c r="D5" s="22"/>
      <c r="E5" s="22"/>
      <c r="F5" s="38"/>
      <c r="G5" s="25"/>
    </row>
    <row r="6" spans="1:7" x14ac:dyDescent="0.25">
      <c r="A6" s="23"/>
      <c r="B6" s="28"/>
      <c r="C6" s="28"/>
      <c r="D6" s="22"/>
      <c r="E6" s="22"/>
      <c r="F6" s="38"/>
      <c r="G6" s="25"/>
    </row>
    <row r="7" spans="1:7" x14ac:dyDescent="0.25">
      <c r="A7" s="23"/>
      <c r="B7" s="28"/>
      <c r="C7" s="28"/>
      <c r="D7" s="22"/>
      <c r="E7" s="22"/>
      <c r="F7" s="38"/>
      <c r="G7" s="25"/>
    </row>
    <row r="8" spans="1:7" x14ac:dyDescent="0.25">
      <c r="A8" s="23"/>
      <c r="B8" s="28"/>
      <c r="C8" s="28"/>
      <c r="D8" s="22"/>
      <c r="E8" s="22"/>
      <c r="F8" s="38"/>
      <c r="G8" s="25"/>
    </row>
    <row r="9" spans="1:7" x14ac:dyDescent="0.25">
      <c r="A9" s="23"/>
      <c r="B9" s="28"/>
      <c r="C9" s="28"/>
      <c r="D9" s="22"/>
      <c r="E9" s="22"/>
      <c r="F9" s="38"/>
      <c r="G9" s="25"/>
    </row>
    <row r="10" spans="1:7" x14ac:dyDescent="0.25">
      <c r="A10" s="23"/>
      <c r="B10" s="28"/>
      <c r="C10" s="28"/>
      <c r="D10" s="22"/>
      <c r="E10" s="22"/>
      <c r="F10" s="38"/>
      <c r="G10" s="25"/>
    </row>
    <row r="11" spans="1:7" x14ac:dyDescent="0.25">
      <c r="A11" s="23"/>
      <c r="B11" s="28"/>
      <c r="C11" s="28"/>
      <c r="D11" s="22"/>
      <c r="E11" s="22"/>
      <c r="F11" s="38"/>
      <c r="G11" s="25"/>
    </row>
    <row r="12" spans="1:7" x14ac:dyDescent="0.25">
      <c r="A12" s="23"/>
      <c r="B12" s="28"/>
      <c r="C12" s="28"/>
      <c r="D12" s="22"/>
      <c r="E12" s="22"/>
      <c r="F12" s="38"/>
      <c r="G12" s="25"/>
    </row>
    <row r="13" spans="1:7" x14ac:dyDescent="0.25">
      <c r="A13" s="23"/>
      <c r="B13" s="28"/>
      <c r="C13" s="28"/>
      <c r="D13" s="22"/>
      <c r="E13" s="22"/>
      <c r="F13" s="38"/>
      <c r="G13" s="25"/>
    </row>
    <row r="14" spans="1:7" x14ac:dyDescent="0.25">
      <c r="A14" s="23"/>
      <c r="B14" s="28"/>
      <c r="C14" s="28"/>
      <c r="D14" s="22"/>
      <c r="E14" s="22"/>
      <c r="F14" s="38"/>
      <c r="G14" s="25"/>
    </row>
    <row r="15" spans="1:7" x14ac:dyDescent="0.25">
      <c r="A15" s="23"/>
      <c r="B15" s="28"/>
      <c r="C15" s="28"/>
      <c r="D15" s="22"/>
      <c r="E15" s="22"/>
      <c r="F15" s="38"/>
      <c r="G15" s="25"/>
    </row>
  </sheetData>
  <autoFilter ref="A1:G1" xr:uid="{00000000-0009-0000-0000-000002000000}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kePayment">
                <anchor moveWithCells="1" sizeWithCells="1">
                  <from>
                    <xdr:col>7</xdr:col>
                    <xdr:colOff>28575</xdr:colOff>
                    <xdr:row>0</xdr:row>
                    <xdr:rowOff>28575</xdr:rowOff>
                  </from>
                  <to>
                    <xdr:col>9</xdr:col>
                    <xdr:colOff>95250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L5"/>
  <sheetViews>
    <sheetView zoomScale="115" zoomScaleNormal="115" workbookViewId="0">
      <pane ySplit="4" topLeftCell="A5" activePane="bottomLeft" state="frozen"/>
      <selection pane="bottomLeft" activeCell="K9" sqref="K9"/>
    </sheetView>
  </sheetViews>
  <sheetFormatPr defaultRowHeight="15" x14ac:dyDescent="0.25"/>
  <cols>
    <col min="1" max="5" width="12.7109375" customWidth="1"/>
    <col min="6" max="6" width="8.85546875" bestFit="1" customWidth="1"/>
    <col min="7" max="7" width="9.5703125" style="34" bestFit="1" customWidth="1"/>
    <col min="8" max="8" width="9.85546875" style="34" bestFit="1" customWidth="1"/>
    <col min="9" max="9" width="7.85546875" style="34" customWidth="1"/>
    <col min="10" max="10" width="12.7109375" style="34" customWidth="1"/>
    <col min="11" max="11" width="12.28515625" customWidth="1"/>
    <col min="13" max="13" width="10.7109375" bestFit="1" customWidth="1"/>
  </cols>
  <sheetData>
    <row r="1" spans="1:12" ht="15.75" thickBot="1" x14ac:dyDescent="0.3">
      <c r="A1" s="41" t="s">
        <v>0</v>
      </c>
      <c r="B1" s="42"/>
      <c r="C1" s="42"/>
      <c r="D1" s="42"/>
      <c r="E1" s="42"/>
      <c r="F1" s="42"/>
      <c r="G1" s="42"/>
      <c r="H1" s="42"/>
      <c r="I1" s="42"/>
      <c r="J1" s="42"/>
      <c r="K1" s="43"/>
    </row>
    <row r="2" spans="1:12" ht="15.75" thickBot="1" x14ac:dyDescent="0.3">
      <c r="A2" s="41" t="s">
        <v>2</v>
      </c>
      <c r="B2" s="42"/>
      <c r="C2" s="42"/>
      <c r="D2" s="42"/>
      <c r="E2" s="42"/>
      <c r="F2" s="42"/>
      <c r="G2" s="42"/>
      <c r="H2" s="42"/>
      <c r="I2" s="42"/>
      <c r="J2" s="42"/>
      <c r="K2" s="43"/>
    </row>
    <row r="3" spans="1:12" ht="15.75" thickBot="1" x14ac:dyDescent="0.3">
      <c r="A3" s="3" t="s">
        <v>306</v>
      </c>
      <c r="B3" s="30"/>
      <c r="C3" s="44"/>
      <c r="D3" s="44"/>
      <c r="E3" s="44"/>
      <c r="F3" s="44"/>
      <c r="G3" s="44"/>
      <c r="H3" s="44"/>
      <c r="I3" s="44"/>
      <c r="J3" s="44"/>
      <c r="K3" s="45"/>
    </row>
    <row r="4" spans="1:12" ht="15.75" thickBot="1" x14ac:dyDescent="0.3">
      <c r="A4" s="1" t="s">
        <v>1</v>
      </c>
      <c r="B4" s="1" t="s">
        <v>198</v>
      </c>
      <c r="C4" s="1" t="s">
        <v>196</v>
      </c>
      <c r="D4" s="31" t="s">
        <v>3</v>
      </c>
      <c r="E4" s="1" t="s">
        <v>194</v>
      </c>
      <c r="F4" s="1" t="s">
        <v>195</v>
      </c>
      <c r="G4" s="32" t="s">
        <v>6</v>
      </c>
      <c r="H4" s="32" t="s">
        <v>8</v>
      </c>
      <c r="I4" s="32" t="s">
        <v>7</v>
      </c>
      <c r="J4" s="32" t="s">
        <v>197</v>
      </c>
      <c r="K4" s="1" t="s">
        <v>199</v>
      </c>
    </row>
    <row r="5" spans="1:12" ht="15.75" thickBot="1" x14ac:dyDescent="0.3">
      <c r="A5" s="9" t="s">
        <v>193</v>
      </c>
      <c r="B5" s="9"/>
      <c r="C5" s="5"/>
      <c r="D5" s="6"/>
      <c r="E5" s="6"/>
      <c r="F5" s="33"/>
      <c r="G5" s="33">
        <v>0</v>
      </c>
      <c r="H5" s="33">
        <v>0</v>
      </c>
      <c r="I5" s="33">
        <v>0</v>
      </c>
      <c r="J5" s="33">
        <v>0</v>
      </c>
      <c r="K5" s="35">
        <f>G5-H5-I5-J5</f>
        <v>0</v>
      </c>
      <c r="L5" s="34"/>
    </row>
  </sheetData>
  <mergeCells count="3">
    <mergeCell ref="A1:K1"/>
    <mergeCell ref="A2:K2"/>
    <mergeCell ref="C3:K3"/>
  </mergeCells>
  <printOptions gridLines="1"/>
  <pageMargins left="0.25" right="0.25" top="0.75" bottom="0.75" header="0.3" footer="0.3"/>
  <pageSetup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macro="[0]!DropDown1_Change">
                <anchor mov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10</xdr:col>
                    <xdr:colOff>809625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Receipts">
                <anchor moveWithCells="1">
                  <from>
                    <xdr:col>11</xdr:col>
                    <xdr:colOff>57150</xdr:colOff>
                    <xdr:row>1</xdr:row>
                    <xdr:rowOff>28575</xdr:rowOff>
                  </from>
                  <to>
                    <xdr:col>11</xdr:col>
                    <xdr:colOff>600075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3"/>
  <dimension ref="A1:D107"/>
  <sheetViews>
    <sheetView tabSelected="1" workbookViewId="0">
      <selection activeCell="D21" sqref="D21"/>
    </sheetView>
  </sheetViews>
  <sheetFormatPr defaultRowHeight="15" x14ac:dyDescent="0.25"/>
  <cols>
    <col min="1" max="1" width="15.7109375" customWidth="1"/>
    <col min="2" max="2" width="30.7109375" customWidth="1"/>
    <col min="3" max="4" width="15.7109375" customWidth="1"/>
  </cols>
  <sheetData>
    <row r="1" spans="1:4" ht="15.75" thickBot="1" x14ac:dyDescent="0.3">
      <c r="A1" s="41" t="s">
        <v>0</v>
      </c>
      <c r="B1" s="42"/>
      <c r="C1" s="42"/>
      <c r="D1" s="42"/>
    </row>
    <row r="2" spans="1:4" ht="15.75" thickBot="1" x14ac:dyDescent="0.3">
      <c r="A2" s="41" t="s">
        <v>14</v>
      </c>
      <c r="B2" s="42"/>
      <c r="C2" s="42"/>
      <c r="D2" s="42"/>
    </row>
    <row r="3" spans="1:4" ht="15.75" thickBot="1" x14ac:dyDescent="0.3">
      <c r="A3" s="41"/>
      <c r="B3" s="42"/>
      <c r="C3" s="42"/>
      <c r="D3" s="42"/>
    </row>
    <row r="4" spans="1:4" ht="15.75" thickBot="1" x14ac:dyDescent="0.3">
      <c r="A4" s="11" t="s">
        <v>10</v>
      </c>
      <c r="B4" s="1" t="s">
        <v>11</v>
      </c>
      <c r="C4" s="12" t="s">
        <v>12</v>
      </c>
      <c r="D4" s="2" t="s">
        <v>13</v>
      </c>
    </row>
    <row r="5" spans="1:4" x14ac:dyDescent="0.25">
      <c r="A5" s="13" t="s">
        <v>15</v>
      </c>
      <c r="B5" s="7"/>
      <c r="C5" s="8"/>
      <c r="D5" s="4">
        <v>0</v>
      </c>
    </row>
    <row r="6" spans="1:4" x14ac:dyDescent="0.25">
      <c r="A6" s="13" t="s">
        <v>16</v>
      </c>
      <c r="B6" s="7"/>
      <c r="C6" s="8"/>
      <c r="D6" s="4">
        <v>0</v>
      </c>
    </row>
    <row r="7" spans="1:4" x14ac:dyDescent="0.25">
      <c r="A7" s="13" t="s">
        <v>17</v>
      </c>
      <c r="B7" s="7"/>
      <c r="C7" s="8"/>
      <c r="D7" s="4"/>
    </row>
    <row r="8" spans="1:4" x14ac:dyDescent="0.25">
      <c r="A8" s="13" t="s">
        <v>18</v>
      </c>
      <c r="B8" s="7"/>
      <c r="C8" s="8"/>
      <c r="D8" s="4"/>
    </row>
    <row r="9" spans="1:4" x14ac:dyDescent="0.25">
      <c r="A9" s="13" t="s">
        <v>19</v>
      </c>
      <c r="B9" s="7"/>
      <c r="C9" s="8"/>
      <c r="D9" s="4"/>
    </row>
    <row r="10" spans="1:4" x14ac:dyDescent="0.25">
      <c r="A10" s="13" t="s">
        <v>20</v>
      </c>
      <c r="B10" s="7"/>
      <c r="C10" s="8"/>
      <c r="D10" s="4"/>
    </row>
    <row r="11" spans="1:4" x14ac:dyDescent="0.25">
      <c r="A11" s="13" t="s">
        <v>74</v>
      </c>
      <c r="B11" s="7"/>
      <c r="C11" s="8"/>
      <c r="D11" s="4"/>
    </row>
    <row r="12" spans="1:4" x14ac:dyDescent="0.25">
      <c r="A12" s="13" t="s">
        <v>21</v>
      </c>
      <c r="B12" s="7"/>
      <c r="C12" s="8"/>
      <c r="D12" s="4"/>
    </row>
    <row r="13" spans="1:4" x14ac:dyDescent="0.25">
      <c r="A13" s="13" t="s">
        <v>22</v>
      </c>
      <c r="B13" s="7"/>
      <c r="C13" s="8"/>
      <c r="D13" s="4"/>
    </row>
    <row r="14" spans="1:4" x14ac:dyDescent="0.25">
      <c r="A14" s="13" t="s">
        <v>75</v>
      </c>
      <c r="B14" s="7"/>
      <c r="C14" s="8"/>
      <c r="D14" s="4"/>
    </row>
    <row r="15" spans="1:4" x14ac:dyDescent="0.25">
      <c r="A15" s="13" t="s">
        <v>23</v>
      </c>
      <c r="B15" s="7"/>
      <c r="C15" s="8"/>
      <c r="D15" s="4"/>
    </row>
    <row r="16" spans="1:4" x14ac:dyDescent="0.25">
      <c r="A16" s="13" t="s">
        <v>24</v>
      </c>
      <c r="B16" s="7"/>
      <c r="C16" s="8"/>
      <c r="D16" s="4"/>
    </row>
    <row r="17" spans="1:4" x14ac:dyDescent="0.25">
      <c r="A17" s="13" t="s">
        <v>25</v>
      </c>
      <c r="B17" s="7"/>
      <c r="C17" s="8"/>
      <c r="D17" s="4"/>
    </row>
    <row r="18" spans="1:4" x14ac:dyDescent="0.25">
      <c r="A18" s="13" t="s">
        <v>26</v>
      </c>
      <c r="B18" s="7"/>
      <c r="C18" s="8"/>
      <c r="D18" s="4"/>
    </row>
    <row r="19" spans="1:4" x14ac:dyDescent="0.25">
      <c r="A19" s="13" t="s">
        <v>27</v>
      </c>
      <c r="B19" s="7"/>
      <c r="C19" s="8"/>
      <c r="D19" s="4"/>
    </row>
    <row r="20" spans="1:4" x14ac:dyDescent="0.25">
      <c r="A20" s="13" t="s">
        <v>28</v>
      </c>
      <c r="B20" s="7"/>
      <c r="C20" s="8"/>
      <c r="D20" s="4"/>
    </row>
    <row r="21" spans="1:4" x14ac:dyDescent="0.25">
      <c r="A21" s="13" t="s">
        <v>29</v>
      </c>
      <c r="B21" s="7"/>
      <c r="C21" s="8"/>
      <c r="D21" s="4"/>
    </row>
    <row r="22" spans="1:4" x14ac:dyDescent="0.25">
      <c r="A22" s="13" t="s">
        <v>30</v>
      </c>
      <c r="B22" s="7"/>
      <c r="C22" s="8"/>
      <c r="D22" s="4"/>
    </row>
    <row r="23" spans="1:4" x14ac:dyDescent="0.25">
      <c r="A23" s="13" t="s">
        <v>31</v>
      </c>
      <c r="B23" s="7"/>
      <c r="C23" s="8"/>
      <c r="D23" s="4"/>
    </row>
    <row r="24" spans="1:4" x14ac:dyDescent="0.25">
      <c r="A24" s="13" t="s">
        <v>32</v>
      </c>
      <c r="B24" s="7"/>
      <c r="C24" s="8"/>
      <c r="D24" s="4"/>
    </row>
    <row r="25" spans="1:4" x14ac:dyDescent="0.25">
      <c r="A25" s="13" t="s">
        <v>33</v>
      </c>
      <c r="B25" s="7"/>
      <c r="C25" s="8"/>
      <c r="D25" s="4"/>
    </row>
    <row r="26" spans="1:4" x14ac:dyDescent="0.25">
      <c r="A26" s="13" t="s">
        <v>34</v>
      </c>
      <c r="B26" s="7"/>
      <c r="C26" s="8"/>
      <c r="D26" s="4"/>
    </row>
    <row r="27" spans="1:4" x14ac:dyDescent="0.25">
      <c r="A27" s="13" t="s">
        <v>76</v>
      </c>
      <c r="B27" s="7"/>
      <c r="C27" s="8"/>
      <c r="D27" s="4"/>
    </row>
    <row r="28" spans="1:4" x14ac:dyDescent="0.25">
      <c r="A28" s="13" t="s">
        <v>35</v>
      </c>
      <c r="B28" s="7"/>
      <c r="C28" s="8"/>
      <c r="D28" s="4"/>
    </row>
    <row r="29" spans="1:4" x14ac:dyDescent="0.25">
      <c r="A29" s="13" t="s">
        <v>36</v>
      </c>
      <c r="B29" s="7"/>
      <c r="C29" s="8"/>
      <c r="D29" s="4"/>
    </row>
    <row r="30" spans="1:4" x14ac:dyDescent="0.25">
      <c r="A30" s="13" t="s">
        <v>37</v>
      </c>
      <c r="B30" s="7"/>
      <c r="C30" s="8"/>
      <c r="D30" s="4"/>
    </row>
    <row r="31" spans="1:4" x14ac:dyDescent="0.25">
      <c r="A31" s="13" t="s">
        <v>38</v>
      </c>
      <c r="B31" s="7"/>
      <c r="C31" s="8"/>
      <c r="D31" s="4"/>
    </row>
    <row r="32" spans="1:4" x14ac:dyDescent="0.25">
      <c r="A32" s="13" t="s">
        <v>39</v>
      </c>
      <c r="B32" s="7"/>
      <c r="C32" s="8"/>
      <c r="D32" s="4"/>
    </row>
    <row r="33" spans="1:4" x14ac:dyDescent="0.25">
      <c r="A33" s="13" t="s">
        <v>40</v>
      </c>
      <c r="B33" s="7"/>
      <c r="C33" s="8"/>
      <c r="D33" s="4"/>
    </row>
    <row r="34" spans="1:4" x14ac:dyDescent="0.25">
      <c r="A34" s="13" t="s">
        <v>77</v>
      </c>
      <c r="B34" s="7"/>
      <c r="C34" s="8"/>
      <c r="D34" s="4"/>
    </row>
    <row r="35" spans="1:4" x14ac:dyDescent="0.25">
      <c r="A35" s="13" t="s">
        <v>41</v>
      </c>
      <c r="B35" s="7"/>
      <c r="C35" s="8"/>
      <c r="D35" s="4"/>
    </row>
    <row r="36" spans="1:4" x14ac:dyDescent="0.25">
      <c r="A36" s="13" t="s">
        <v>42</v>
      </c>
      <c r="B36" s="7"/>
      <c r="C36" s="8"/>
      <c r="D36" s="4"/>
    </row>
    <row r="37" spans="1:4" x14ac:dyDescent="0.25">
      <c r="A37" s="13" t="s">
        <v>43</v>
      </c>
      <c r="B37" s="7"/>
      <c r="C37" s="8"/>
      <c r="D37" s="4"/>
    </row>
    <row r="38" spans="1:4" x14ac:dyDescent="0.25">
      <c r="A38" s="13" t="s">
        <v>44</v>
      </c>
      <c r="B38" s="7"/>
      <c r="C38" s="8"/>
      <c r="D38" s="4"/>
    </row>
    <row r="39" spans="1:4" x14ac:dyDescent="0.25">
      <c r="A39" s="13" t="s">
        <v>45</v>
      </c>
      <c r="B39" s="7"/>
      <c r="C39" s="8"/>
      <c r="D39" s="4"/>
    </row>
    <row r="40" spans="1:4" x14ac:dyDescent="0.25">
      <c r="A40" s="13" t="s">
        <v>46</v>
      </c>
      <c r="B40" s="7"/>
      <c r="C40" s="8"/>
      <c r="D40" s="4"/>
    </row>
    <row r="41" spans="1:4" x14ac:dyDescent="0.25">
      <c r="A41" s="13" t="s">
        <v>47</v>
      </c>
      <c r="B41" s="7"/>
      <c r="C41" s="8"/>
      <c r="D41" s="4"/>
    </row>
    <row r="42" spans="1:4" x14ac:dyDescent="0.25">
      <c r="A42" s="13" t="s">
        <v>78</v>
      </c>
      <c r="B42" s="7"/>
      <c r="C42" s="8"/>
      <c r="D42" s="4"/>
    </row>
    <row r="43" spans="1:4" x14ac:dyDescent="0.25">
      <c r="A43" s="13" t="s">
        <v>48</v>
      </c>
      <c r="B43" s="7"/>
      <c r="C43" s="8"/>
      <c r="D43" s="4"/>
    </row>
    <row r="44" spans="1:4" x14ac:dyDescent="0.25">
      <c r="A44" s="13" t="s">
        <v>49</v>
      </c>
      <c r="B44" s="7"/>
      <c r="C44" s="8"/>
      <c r="D44" s="4"/>
    </row>
    <row r="45" spans="1:4" x14ac:dyDescent="0.25">
      <c r="A45" s="13" t="s">
        <v>50</v>
      </c>
      <c r="B45" s="7"/>
      <c r="C45" s="8"/>
      <c r="D45" s="4"/>
    </row>
    <row r="46" spans="1:4" x14ac:dyDescent="0.25">
      <c r="A46" s="13" t="s">
        <v>51</v>
      </c>
      <c r="B46" s="7"/>
      <c r="C46" s="8"/>
      <c r="D46" s="4"/>
    </row>
    <row r="47" spans="1:4" x14ac:dyDescent="0.25">
      <c r="A47" s="13" t="s">
        <v>52</v>
      </c>
      <c r="B47" s="7"/>
      <c r="C47" s="8"/>
      <c r="D47" s="4"/>
    </row>
    <row r="48" spans="1:4" x14ac:dyDescent="0.25">
      <c r="A48" s="13" t="s">
        <v>79</v>
      </c>
      <c r="B48" s="7"/>
      <c r="C48" s="8"/>
      <c r="D48" s="4"/>
    </row>
    <row r="49" spans="1:4" x14ac:dyDescent="0.25">
      <c r="A49" s="13" t="s">
        <v>80</v>
      </c>
      <c r="B49" s="7"/>
      <c r="C49" s="8"/>
      <c r="D49" s="4"/>
    </row>
    <row r="50" spans="1:4" x14ac:dyDescent="0.25">
      <c r="A50" s="13" t="s">
        <v>81</v>
      </c>
      <c r="B50" s="7"/>
      <c r="C50" s="8"/>
      <c r="D50" s="4"/>
    </row>
    <row r="51" spans="1:4" x14ac:dyDescent="0.25">
      <c r="A51" s="13" t="s">
        <v>82</v>
      </c>
      <c r="B51" s="7"/>
      <c r="C51" s="8"/>
      <c r="D51" s="4"/>
    </row>
    <row r="52" spans="1:4" x14ac:dyDescent="0.25">
      <c r="A52" s="13" t="s">
        <v>83</v>
      </c>
      <c r="B52" s="7"/>
      <c r="C52" s="8"/>
      <c r="D52" s="4"/>
    </row>
    <row r="53" spans="1:4" x14ac:dyDescent="0.25">
      <c r="A53" s="13" t="s">
        <v>84</v>
      </c>
      <c r="B53" s="7"/>
      <c r="C53" s="8"/>
      <c r="D53" s="4"/>
    </row>
    <row r="54" spans="1:4" x14ac:dyDescent="0.25">
      <c r="A54" s="13" t="s">
        <v>53</v>
      </c>
      <c r="B54" s="7"/>
      <c r="C54" s="8"/>
      <c r="D54" s="4"/>
    </row>
    <row r="55" spans="1:4" x14ac:dyDescent="0.25">
      <c r="A55" s="13" t="s">
        <v>54</v>
      </c>
      <c r="B55" s="7"/>
      <c r="C55" s="8"/>
      <c r="D55" s="4"/>
    </row>
    <row r="56" spans="1:4" x14ac:dyDescent="0.25">
      <c r="A56" s="13" t="s">
        <v>85</v>
      </c>
      <c r="B56" s="7"/>
      <c r="C56" s="8"/>
      <c r="D56" s="4"/>
    </row>
    <row r="57" spans="1:4" x14ac:dyDescent="0.25">
      <c r="A57" s="13" t="s">
        <v>86</v>
      </c>
      <c r="B57" s="7"/>
      <c r="C57" s="8"/>
      <c r="D57" s="4"/>
    </row>
    <row r="58" spans="1:4" x14ac:dyDescent="0.25">
      <c r="A58" s="13" t="s">
        <v>87</v>
      </c>
      <c r="B58" s="7"/>
      <c r="C58" s="8"/>
      <c r="D58" s="4"/>
    </row>
    <row r="59" spans="1:4" x14ac:dyDescent="0.25">
      <c r="A59" s="13" t="s">
        <v>55</v>
      </c>
      <c r="B59" s="7"/>
      <c r="C59" s="8"/>
      <c r="D59" s="4"/>
    </row>
    <row r="60" spans="1:4" x14ac:dyDescent="0.25">
      <c r="A60" s="13" t="s">
        <v>56</v>
      </c>
      <c r="B60" s="7"/>
      <c r="C60" s="8"/>
      <c r="D60" s="4"/>
    </row>
    <row r="61" spans="1:4" x14ac:dyDescent="0.25">
      <c r="A61" s="13" t="s">
        <v>88</v>
      </c>
      <c r="B61" s="7"/>
      <c r="C61" s="8"/>
      <c r="D61" s="4"/>
    </row>
    <row r="62" spans="1:4" x14ac:dyDescent="0.25">
      <c r="A62" s="13" t="s">
        <v>89</v>
      </c>
      <c r="B62" s="7"/>
      <c r="C62" s="8"/>
      <c r="D62" s="4"/>
    </row>
    <row r="63" spans="1:4" x14ac:dyDescent="0.25">
      <c r="A63" s="13" t="s">
        <v>90</v>
      </c>
      <c r="B63" s="7"/>
      <c r="C63" s="8"/>
      <c r="D63" s="4"/>
    </row>
    <row r="64" spans="1:4" x14ac:dyDescent="0.25">
      <c r="A64" s="13" t="s">
        <v>91</v>
      </c>
      <c r="B64" s="7"/>
      <c r="C64" s="8"/>
      <c r="D64" s="4"/>
    </row>
    <row r="65" spans="1:4" x14ac:dyDescent="0.25">
      <c r="A65" s="13" t="s">
        <v>92</v>
      </c>
      <c r="B65" s="7"/>
      <c r="C65" s="8"/>
      <c r="D65" s="4"/>
    </row>
    <row r="66" spans="1:4" x14ac:dyDescent="0.25">
      <c r="A66" s="13" t="s">
        <v>93</v>
      </c>
      <c r="B66" s="7"/>
      <c r="C66" s="8"/>
      <c r="D66" s="4"/>
    </row>
    <row r="67" spans="1:4" x14ac:dyDescent="0.25">
      <c r="A67" s="13" t="s">
        <v>57</v>
      </c>
      <c r="B67" s="7"/>
      <c r="C67" s="8"/>
      <c r="D67" s="4"/>
    </row>
    <row r="68" spans="1:4" x14ac:dyDescent="0.25">
      <c r="A68" s="13" t="s">
        <v>94</v>
      </c>
      <c r="B68" s="7"/>
      <c r="C68" s="8"/>
      <c r="D68" s="4"/>
    </row>
    <row r="69" spans="1:4" x14ac:dyDescent="0.25">
      <c r="A69" s="13" t="s">
        <v>58</v>
      </c>
      <c r="B69" s="7"/>
      <c r="C69" s="8"/>
      <c r="D69" s="4"/>
    </row>
    <row r="70" spans="1:4" x14ac:dyDescent="0.25">
      <c r="A70" s="13" t="s">
        <v>59</v>
      </c>
      <c r="B70" s="7"/>
      <c r="C70" s="8"/>
      <c r="D70" s="4"/>
    </row>
    <row r="71" spans="1:4" x14ac:dyDescent="0.25">
      <c r="A71" s="13" t="s">
        <v>60</v>
      </c>
      <c r="B71" s="7"/>
      <c r="C71" s="8"/>
      <c r="D71" s="4"/>
    </row>
    <row r="72" spans="1:4" x14ac:dyDescent="0.25">
      <c r="A72" s="13" t="s">
        <v>61</v>
      </c>
      <c r="B72" s="7"/>
      <c r="C72" s="8"/>
      <c r="D72" s="4"/>
    </row>
    <row r="73" spans="1:4" x14ac:dyDescent="0.25">
      <c r="A73" s="13" t="s">
        <v>95</v>
      </c>
      <c r="B73" s="7"/>
      <c r="C73" s="8"/>
      <c r="D73" s="4"/>
    </row>
    <row r="74" spans="1:4" x14ac:dyDescent="0.25">
      <c r="A74" s="13" t="s">
        <v>96</v>
      </c>
      <c r="B74" s="7"/>
      <c r="C74" s="8"/>
      <c r="D74" s="4"/>
    </row>
    <row r="75" spans="1:4" x14ac:dyDescent="0.25">
      <c r="A75" s="13" t="s">
        <v>62</v>
      </c>
      <c r="B75" s="7"/>
      <c r="C75" s="8"/>
      <c r="D75" s="4"/>
    </row>
    <row r="76" spans="1:4" x14ac:dyDescent="0.25">
      <c r="A76" s="13" t="s">
        <v>97</v>
      </c>
      <c r="B76" s="7"/>
      <c r="C76" s="8"/>
      <c r="D76" s="4"/>
    </row>
    <row r="77" spans="1:4" x14ac:dyDescent="0.25">
      <c r="A77" s="13" t="s">
        <v>63</v>
      </c>
      <c r="B77" s="7"/>
      <c r="C77" s="8"/>
      <c r="D77" s="4"/>
    </row>
    <row r="78" spans="1:4" x14ac:dyDescent="0.25">
      <c r="A78" s="13" t="s">
        <v>64</v>
      </c>
      <c r="B78" s="7"/>
      <c r="C78" s="8"/>
      <c r="D78" s="4"/>
    </row>
    <row r="79" spans="1:4" x14ac:dyDescent="0.25">
      <c r="A79" s="13" t="s">
        <v>98</v>
      </c>
      <c r="B79" s="7"/>
      <c r="C79" s="8"/>
      <c r="D79" s="4"/>
    </row>
    <row r="80" spans="1:4" x14ac:dyDescent="0.25">
      <c r="A80" s="13" t="s">
        <v>99</v>
      </c>
      <c r="B80" s="7"/>
      <c r="C80" s="8"/>
      <c r="D80" s="4"/>
    </row>
    <row r="81" spans="1:4" x14ac:dyDescent="0.25">
      <c r="A81" s="13" t="s">
        <v>65</v>
      </c>
      <c r="B81" s="7"/>
      <c r="C81" s="8"/>
      <c r="D81" s="4"/>
    </row>
    <row r="82" spans="1:4" x14ac:dyDescent="0.25">
      <c r="A82" s="13" t="s">
        <v>66</v>
      </c>
      <c r="B82" s="7"/>
      <c r="C82" s="8"/>
      <c r="D82" s="4"/>
    </row>
    <row r="83" spans="1:4" x14ac:dyDescent="0.25">
      <c r="A83" s="14" t="s">
        <v>73</v>
      </c>
      <c r="B83" s="7"/>
      <c r="C83" s="8"/>
      <c r="D83" s="4"/>
    </row>
    <row r="84" spans="1:4" x14ac:dyDescent="0.25">
      <c r="A84" s="13" t="s">
        <v>100</v>
      </c>
      <c r="B84" s="7"/>
      <c r="C84" s="8"/>
      <c r="D84" s="4"/>
    </row>
    <row r="85" spans="1:4" x14ac:dyDescent="0.25">
      <c r="A85" s="13" t="s">
        <v>101</v>
      </c>
      <c r="B85" s="7"/>
      <c r="C85" s="8"/>
      <c r="D85" s="4"/>
    </row>
    <row r="86" spans="1:4" x14ac:dyDescent="0.25">
      <c r="A86" s="13" t="s">
        <v>102</v>
      </c>
      <c r="B86" s="7"/>
      <c r="C86" s="8"/>
      <c r="D86" s="4"/>
    </row>
    <row r="87" spans="1:4" x14ac:dyDescent="0.25">
      <c r="A87" s="13" t="s">
        <v>103</v>
      </c>
      <c r="B87" s="7"/>
      <c r="C87" s="8"/>
      <c r="D87" s="4"/>
    </row>
    <row r="88" spans="1:4" x14ac:dyDescent="0.25">
      <c r="A88" s="13" t="s">
        <v>104</v>
      </c>
      <c r="B88" s="7"/>
      <c r="C88" s="8"/>
      <c r="D88" s="4"/>
    </row>
    <row r="89" spans="1:4" x14ac:dyDescent="0.25">
      <c r="A89" s="13" t="s">
        <v>9</v>
      </c>
      <c r="B89" s="7"/>
      <c r="C89" s="8"/>
      <c r="D89" s="4"/>
    </row>
    <row r="90" spans="1:4" x14ac:dyDescent="0.25">
      <c r="A90" s="13" t="s">
        <v>105</v>
      </c>
      <c r="B90" s="7"/>
      <c r="C90" s="8"/>
      <c r="D90" s="4"/>
    </row>
    <row r="91" spans="1:4" x14ac:dyDescent="0.25">
      <c r="A91" s="13" t="s">
        <v>106</v>
      </c>
      <c r="B91" s="7"/>
      <c r="C91" s="8"/>
      <c r="D91" s="4"/>
    </row>
    <row r="92" spans="1:4" x14ac:dyDescent="0.25">
      <c r="A92" s="13" t="s">
        <v>107</v>
      </c>
      <c r="B92" s="7"/>
      <c r="C92" s="8"/>
      <c r="D92" s="4"/>
    </row>
    <row r="93" spans="1:4" x14ac:dyDescent="0.25">
      <c r="A93" s="13" t="s">
        <v>108</v>
      </c>
      <c r="B93" s="7"/>
      <c r="C93" s="8"/>
      <c r="D93" s="4"/>
    </row>
    <row r="94" spans="1:4" x14ac:dyDescent="0.25">
      <c r="A94" s="13" t="s">
        <v>68</v>
      </c>
      <c r="B94" s="7"/>
      <c r="C94" s="8"/>
      <c r="D94" s="4"/>
    </row>
    <row r="95" spans="1:4" x14ac:dyDescent="0.25">
      <c r="A95" s="13" t="s">
        <v>109</v>
      </c>
      <c r="B95" s="7"/>
      <c r="C95" s="8"/>
      <c r="D95" s="4"/>
    </row>
    <row r="96" spans="1:4" x14ac:dyDescent="0.25">
      <c r="A96" s="13" t="s">
        <v>110</v>
      </c>
      <c r="B96" s="7"/>
      <c r="C96" s="8"/>
      <c r="D96" s="4"/>
    </row>
    <row r="97" spans="1:4" x14ac:dyDescent="0.25">
      <c r="A97" s="13" t="s">
        <v>111</v>
      </c>
      <c r="B97" s="7"/>
      <c r="C97" s="8"/>
      <c r="D97" s="4"/>
    </row>
    <row r="98" spans="1:4" x14ac:dyDescent="0.25">
      <c r="A98" s="13" t="s">
        <v>112</v>
      </c>
      <c r="B98" s="7"/>
      <c r="C98" s="8"/>
      <c r="D98" s="4"/>
    </row>
    <row r="99" spans="1:4" x14ac:dyDescent="0.25">
      <c r="A99" s="13" t="s">
        <v>113</v>
      </c>
      <c r="B99" s="7"/>
      <c r="C99" s="8"/>
      <c r="D99" s="4"/>
    </row>
    <row r="100" spans="1:4" x14ac:dyDescent="0.25">
      <c r="A100" s="13" t="s">
        <v>69</v>
      </c>
      <c r="B100" s="7"/>
      <c r="C100" s="8"/>
      <c r="D100" s="4"/>
    </row>
    <row r="101" spans="1:4" x14ac:dyDescent="0.25">
      <c r="A101" s="13" t="s">
        <v>114</v>
      </c>
      <c r="B101" s="7"/>
      <c r="C101" s="8"/>
      <c r="D101" s="4"/>
    </row>
    <row r="102" spans="1:4" x14ac:dyDescent="0.25">
      <c r="A102" s="13" t="s">
        <v>115</v>
      </c>
      <c r="B102" s="7"/>
      <c r="C102" s="8"/>
      <c r="D102" s="4"/>
    </row>
    <row r="103" spans="1:4" x14ac:dyDescent="0.25">
      <c r="A103" s="13" t="s">
        <v>70</v>
      </c>
      <c r="B103" s="7"/>
      <c r="C103" s="8"/>
      <c r="D103" s="4"/>
    </row>
    <row r="104" spans="1:4" x14ac:dyDescent="0.25">
      <c r="A104" s="13" t="s">
        <v>71</v>
      </c>
      <c r="B104" s="7"/>
      <c r="C104" s="8"/>
      <c r="D104" s="4"/>
    </row>
    <row r="105" spans="1:4" x14ac:dyDescent="0.25">
      <c r="A105" s="13" t="s">
        <v>72</v>
      </c>
      <c r="B105" s="7"/>
      <c r="C105" s="8"/>
      <c r="D105" s="4"/>
    </row>
    <row r="106" spans="1:4" ht="15.75" thickBot="1" x14ac:dyDescent="0.3">
      <c r="A106" s="13"/>
      <c r="B106" s="7"/>
      <c r="C106" s="8"/>
      <c r="D106" s="4"/>
    </row>
    <row r="107" spans="1:4" ht="15.75" thickBot="1" x14ac:dyDescent="0.3">
      <c r="A107" s="9"/>
      <c r="B107" s="5"/>
      <c r="C107" s="10">
        <f>SUM(C5:C105)</f>
        <v>0</v>
      </c>
      <c r="D107" s="10">
        <f>SUM(D5:D105)</f>
        <v>0</v>
      </c>
    </row>
  </sheetData>
  <mergeCells count="3">
    <mergeCell ref="A1:D1"/>
    <mergeCell ref="A2:D2"/>
    <mergeCell ref="A3:D3"/>
  </mergeCells>
  <printOptions gridLines="1"/>
  <pageMargins left="0.7" right="0.7" top="0.75" bottom="0.75" header="0.3" footer="0.3"/>
  <pageSetup orientation="portrait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pdateSalesTotals">
                <anchor moveWithCells="1">
                  <from>
                    <xdr:col>4</xdr:col>
                    <xdr:colOff>38100</xdr:colOff>
                    <xdr:row>0</xdr:row>
                    <xdr:rowOff>95250</xdr:rowOff>
                  </from>
                  <to>
                    <xdr:col>4</xdr:col>
                    <xdr:colOff>552450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VendorData</vt:lpstr>
      <vt:lpstr>ControlData</vt:lpstr>
      <vt:lpstr>TransactionData</vt:lpstr>
      <vt:lpstr>Vendor Sales</vt:lpstr>
      <vt:lpstr>TOTAL 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Beamers</dc:creator>
  <cp:lastModifiedBy>Matthew Beamer</cp:lastModifiedBy>
  <cp:lastPrinted>2018-10-11T20:59:52Z</cp:lastPrinted>
  <dcterms:created xsi:type="dcterms:W3CDTF">2012-10-07T16:35:40Z</dcterms:created>
  <dcterms:modified xsi:type="dcterms:W3CDTF">2018-10-11T21:31:33Z</dcterms:modified>
</cp:coreProperties>
</file>